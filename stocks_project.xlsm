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/>
  <workbookPr/>
  <mc:AlternateContent xmlns:mc="http://schemas.openxmlformats.org/markup-compatibility/2006">
    <mc:Choice Requires="x15">
      <x15ac:absPath xmlns:x15ac="http://schemas.microsoft.com/office/spreadsheetml/2010/11/ac" url="https://d.docs.live.net/1A5EADC06F9E296A/Desktop/INTERNSHIP FILES/"/>
    </mc:Choice>
  </mc:AlternateContent>
  <xr:revisionPtr revIDLastSave="118" documentId="8_{5E52521C-11BD-4449-9667-9AC89CD534C1}" xr6:coauthVersionLast="47" xr6:coauthVersionMax="47" xr10:uidLastSave="{4D68DDCD-59A6-4AB7-A780-52E68A9DC4D8}"/>
  <bookViews>
    <workbookView xWindow="-108" yWindow="-108" windowWidth="23256" windowHeight="12456" xr2:uid="{00000000-000D-0000-FFFF-FFFF00000000}"/>
  </bookViews>
  <sheets>
    <sheet name="stocks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89" i="1" l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188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26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64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3" i="1"/>
  <c r="L4" i="1"/>
  <c r="L5" i="1"/>
  <c r="L6" i="1"/>
  <c r="L7" i="1"/>
  <c r="L2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4" i="1"/>
  <c r="K5" i="1"/>
  <c r="K6" i="1"/>
  <c r="K7" i="1"/>
  <c r="K8" i="1"/>
  <c r="K9" i="1"/>
  <c r="K10" i="1"/>
  <c r="K11" i="1"/>
  <c r="K12" i="1"/>
  <c r="K13" i="1"/>
  <c r="K14" i="1"/>
  <c r="K15" i="1"/>
  <c r="K3" i="1"/>
  <c r="J249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3" i="1"/>
  <c r="J4" i="1"/>
  <c r="J5" i="1"/>
  <c r="J2" i="1"/>
  <c r="I249" i="1"/>
  <c r="I248" i="1"/>
  <c r="I247" i="1"/>
  <c r="I246" i="1"/>
  <c r="I245" i="1"/>
  <c r="I244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196" i="1"/>
  <c r="I189" i="1"/>
  <c r="I190" i="1"/>
  <c r="I191" i="1"/>
  <c r="I192" i="1"/>
  <c r="I193" i="1"/>
  <c r="I194" i="1"/>
  <c r="I195" i="1"/>
  <c r="I188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26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64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2" i="1"/>
</calcChain>
</file>

<file path=xl/sharedStrings.xml><?xml version="1.0" encoding="utf-8"?>
<sst xmlns="http://schemas.openxmlformats.org/spreadsheetml/2006/main" count="260" uniqueCount="16">
  <si>
    <t>Ticker</t>
  </si>
  <si>
    <t>Date</t>
  </si>
  <si>
    <t>Open</t>
  </si>
  <si>
    <t>High</t>
  </si>
  <si>
    <t>Low</t>
  </si>
  <si>
    <t>Close</t>
  </si>
  <si>
    <t>Adj Close</t>
  </si>
  <si>
    <t>Volume</t>
  </si>
  <si>
    <t>AAPL</t>
  </si>
  <si>
    <t>MSFT</t>
  </si>
  <si>
    <t>NFLX</t>
  </si>
  <si>
    <t>GOOG</t>
  </si>
  <si>
    <t>Moving_average</t>
  </si>
  <si>
    <t>Daily Return%</t>
  </si>
  <si>
    <t>Price-Volume Strength</t>
  </si>
  <si>
    <t>Relative 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</si>
</sst>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2" x14ac:knownFonts="1">
    <font>
      <sz val="10"/>
      <color rgb="FF000000"/>
      <name val="Arial"/>
      <scheme val="minor"/>
    </font>
    <font>
      <sz val="10"/>
      <color theme="1"/>
      <name val="Arial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164" fontId="1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outlinePr summaryBelow="0" summaryRight="0"/>
  </sheetPr>
  <dimension ref="A1:L249"/>
  <sheetViews>
    <sheetView tabSelected="1" workbookViewId="0">
      <selection activeCell="M244" sqref="M244"/>
    </sheetView>
  </sheetViews>
  <sheetFormatPr defaultColWidth="12.6640625" defaultRowHeight="15.75" customHeight="1" x14ac:dyDescent="0.25"/>
  <cols>
    <col min="11" max="11" width="19.554687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12</v>
      </c>
      <c r="J1" s="1" t="s">
        <v>13</v>
      </c>
      <c r="K1" s="1" t="s">
        <v>14</v>
      </c>
      <c r="L1" s="1" t="s">
        <v>15</v>
      </c>
    </row>
    <row r="2" spans="1:12" x14ac:dyDescent="0.25">
      <c r="A2" s="1" t="s">
        <v>8</v>
      </c>
      <c r="B2" s="2">
        <v>44964</v>
      </c>
      <c r="C2" s="1">
        <v>150.63999938964801</v>
      </c>
      <c r="D2" s="1">
        <v>155.22999572753901</v>
      </c>
      <c r="E2" s="1">
        <v>150.63999938964801</v>
      </c>
      <c r="F2" s="1">
        <v>154.64999389648401</v>
      </c>
      <c r="G2" s="1">
        <v>154.41423034667901</v>
      </c>
      <c r="H2" s="1">
        <v>83322600</v>
      </c>
      <c r="I2">
        <f ca="1">AVERAGE(OFFSET(F2,62,0,-7))</f>
        <v>183.16856820242688</v>
      </c>
      <c r="J2" t="str">
        <f>IF(ROW()=2, "", (F3-F2)/F2*100)</f>
        <v/>
      </c>
      <c r="L2">
        <f>H2 / AVERAGE($H$2:$H$63)</f>
        <v>1.3821916288650991</v>
      </c>
    </row>
    <row r="3" spans="1:12" x14ac:dyDescent="0.25">
      <c r="A3" s="1" t="s">
        <v>8</v>
      </c>
      <c r="B3" s="2">
        <v>44965</v>
      </c>
      <c r="C3" s="1">
        <v>153.88000488281199</v>
      </c>
      <c r="D3" s="1">
        <v>154.58000183105401</v>
      </c>
      <c r="E3" s="1">
        <v>151.169998168945</v>
      </c>
      <c r="F3" s="1">
        <v>151.919998168945</v>
      </c>
      <c r="G3" s="1">
        <v>151.68840026855401</v>
      </c>
      <c r="H3" s="1">
        <v>64120100</v>
      </c>
      <c r="I3">
        <f t="shared" ref="I3:I63" ca="1" si="0">AVERAGE(OFFSET(F3,62,0,-7))</f>
        <v>197.03285653250501</v>
      </c>
      <c r="J3">
        <f t="shared" ref="J3:J66" si="1">IF(ROW()=2, "", (F4-F3)/F3*100)</f>
        <v>-0.69115525566972369</v>
      </c>
      <c r="K3" t="str">
        <f>IF(AND(J3&gt; 0, H3 &gt; H2), "Strong Up",
 IF(AND(J3 &lt; 0, H3 &gt; H2), "Strong Down", "Weak Move"))</f>
        <v>Weak Move</v>
      </c>
      <c r="L3">
        <f t="shared" ref="L3:L63" si="2">H3 / AVERAGE($H$2:$H$63)</f>
        <v>1.0636521839452084</v>
      </c>
    </row>
    <row r="4" spans="1:12" x14ac:dyDescent="0.25">
      <c r="A4" s="1" t="s">
        <v>8</v>
      </c>
      <c r="B4" s="2">
        <v>44966</v>
      </c>
      <c r="C4" s="1">
        <v>153.77999877929599</v>
      </c>
      <c r="D4" s="1">
        <v>154.33000183105401</v>
      </c>
      <c r="E4" s="1">
        <v>150.419998168945</v>
      </c>
      <c r="F4" s="1">
        <v>150.86999511718699</v>
      </c>
      <c r="G4" s="1">
        <v>150.63999938964801</v>
      </c>
      <c r="H4" s="1">
        <v>56007100</v>
      </c>
      <c r="I4">
        <f t="shared" ca="1" si="0"/>
        <v>210.46571350097605</v>
      </c>
      <c r="J4">
        <f t="shared" si="1"/>
        <v>9.2794720076227105E-2</v>
      </c>
      <c r="K4" t="str">
        <f t="shared" ref="K4:K67" si="3">IF(AND(J4&gt; 0, H4 &gt; H3), "Strong Up",
 IF(AND(J4 &lt; 0, H4 &gt; H3), "Strong Down", "Weak Move"))</f>
        <v>Weak Move</v>
      </c>
      <c r="L4">
        <f t="shared" si="2"/>
        <v>0.92907020156608755</v>
      </c>
    </row>
    <row r="5" spans="1:12" x14ac:dyDescent="0.25">
      <c r="A5" s="1" t="s">
        <v>8</v>
      </c>
      <c r="B5" s="2">
        <v>44967</v>
      </c>
      <c r="C5" s="1">
        <v>149.46000671386699</v>
      </c>
      <c r="D5" s="1">
        <v>151.33999633789</v>
      </c>
      <c r="E5" s="1">
        <v>149.22000122070301</v>
      </c>
      <c r="F5" s="1">
        <v>151.009994506835</v>
      </c>
      <c r="G5" s="1">
        <v>151.009994506835</v>
      </c>
      <c r="H5" s="1">
        <v>57450700</v>
      </c>
      <c r="I5">
        <f t="shared" ca="1" si="0"/>
        <v>223.97428676060213</v>
      </c>
      <c r="J5">
        <f t="shared" si="1"/>
        <v>1.8806779021182309</v>
      </c>
      <c r="K5" t="str">
        <f t="shared" si="3"/>
        <v>Strong Up</v>
      </c>
      <c r="L5">
        <f t="shared" si="2"/>
        <v>0.9530172679733967</v>
      </c>
    </row>
    <row r="6" spans="1:12" x14ac:dyDescent="0.25">
      <c r="A6" s="1" t="s">
        <v>8</v>
      </c>
      <c r="B6" s="2">
        <v>44970</v>
      </c>
      <c r="C6" s="1">
        <v>150.94999694824199</v>
      </c>
      <c r="D6" s="1">
        <v>154.259994506835</v>
      </c>
      <c r="E6" s="1">
        <v>150.919998168945</v>
      </c>
      <c r="F6" s="1">
        <v>153.850006103515</v>
      </c>
      <c r="G6" s="1">
        <v>153.850006103515</v>
      </c>
      <c r="H6" s="1">
        <v>62199000</v>
      </c>
      <c r="I6">
        <f t="shared" ca="1" si="0"/>
        <v>238.81285967145587</v>
      </c>
      <c r="J6">
        <f t="shared" si="1"/>
        <v>-0.42249537178156826</v>
      </c>
      <c r="K6" t="str">
        <f t="shared" si="3"/>
        <v>Strong Down</v>
      </c>
      <c r="L6">
        <f t="shared" si="2"/>
        <v>1.0317841392825031</v>
      </c>
    </row>
    <row r="7" spans="1:12" x14ac:dyDescent="0.25">
      <c r="A7" s="1" t="s">
        <v>8</v>
      </c>
      <c r="B7" s="2">
        <v>44971</v>
      </c>
      <c r="C7" s="1">
        <v>152.11999511718699</v>
      </c>
      <c r="D7" s="1">
        <v>153.77000427246</v>
      </c>
      <c r="E7" s="1">
        <v>150.86000061035099</v>
      </c>
      <c r="F7" s="1">
        <v>153.19999694824199</v>
      </c>
      <c r="G7" s="1">
        <v>153.19999694824199</v>
      </c>
      <c r="H7" s="1">
        <v>61707600</v>
      </c>
      <c r="I7">
        <f t="shared" ca="1" si="0"/>
        <v>254.01000540597042</v>
      </c>
      <c r="J7">
        <f t="shared" si="1"/>
        <v>1.3903426404973303</v>
      </c>
      <c r="K7" t="str">
        <f t="shared" si="3"/>
        <v>Weak Move</v>
      </c>
      <c r="L7">
        <f t="shared" si="2"/>
        <v>1.0236325817648031</v>
      </c>
    </row>
    <row r="8" spans="1:12" x14ac:dyDescent="0.25">
      <c r="A8" s="1" t="s">
        <v>8</v>
      </c>
      <c r="B8" s="2">
        <v>44972</v>
      </c>
      <c r="C8" s="1">
        <v>153.11000061035099</v>
      </c>
      <c r="D8" s="1">
        <v>155.5</v>
      </c>
      <c r="E8" s="1">
        <v>152.88000488281199</v>
      </c>
      <c r="F8" s="1">
        <v>155.33000183105401</v>
      </c>
      <c r="G8" s="1">
        <v>155.33000183105401</v>
      </c>
      <c r="H8" s="1">
        <v>65573800</v>
      </c>
      <c r="I8">
        <f t="shared" ca="1" si="0"/>
        <v>267.68857683454183</v>
      </c>
      <c r="J8">
        <f t="shared" si="1"/>
        <v>-1.0429376798366476</v>
      </c>
      <c r="K8" t="str">
        <f t="shared" si="3"/>
        <v>Strong Down</v>
      </c>
      <c r="L8">
        <f t="shared" si="2"/>
        <v>1.0877667935575008</v>
      </c>
    </row>
    <row r="9" spans="1:12" x14ac:dyDescent="0.25">
      <c r="A9" s="1" t="s">
        <v>8</v>
      </c>
      <c r="B9" s="2">
        <v>44973</v>
      </c>
      <c r="C9" s="1">
        <v>153.509994506835</v>
      </c>
      <c r="D9" s="1">
        <v>156.33000183105401</v>
      </c>
      <c r="E9" s="1">
        <v>153.350006103515</v>
      </c>
      <c r="F9" s="1">
        <v>153.71000671386699</v>
      </c>
      <c r="G9" s="1">
        <v>153.71000671386699</v>
      </c>
      <c r="H9" s="1">
        <v>68167900</v>
      </c>
      <c r="I9">
        <f t="shared" ca="1" si="0"/>
        <v>266.91571916852627</v>
      </c>
      <c r="J9">
        <f t="shared" si="1"/>
        <v>-0.75467023059166283</v>
      </c>
      <c r="K9" t="str">
        <f t="shared" si="3"/>
        <v>Strong Down</v>
      </c>
      <c r="L9">
        <f t="shared" si="2"/>
        <v>1.1307988557403774</v>
      </c>
    </row>
    <row r="10" spans="1:12" x14ac:dyDescent="0.25">
      <c r="A10" s="1" t="s">
        <v>8</v>
      </c>
      <c r="B10" s="2">
        <v>44974</v>
      </c>
      <c r="C10" s="1">
        <v>152.350006103515</v>
      </c>
      <c r="D10" s="1">
        <v>153</v>
      </c>
      <c r="E10" s="1">
        <v>150.850006103515</v>
      </c>
      <c r="F10" s="1">
        <v>152.55000305175699</v>
      </c>
      <c r="G10" s="1">
        <v>152.55000305175699</v>
      </c>
      <c r="H10" s="1">
        <v>59144100</v>
      </c>
      <c r="I10">
        <f t="shared" ca="1" si="0"/>
        <v>265.67714582170703</v>
      </c>
      <c r="J10">
        <f t="shared" si="1"/>
        <v>-2.6679824600443403</v>
      </c>
      <c r="K10" t="str">
        <f t="shared" si="3"/>
        <v>Weak Move</v>
      </c>
      <c r="L10">
        <f t="shared" si="2"/>
        <v>0.98110812572771733</v>
      </c>
    </row>
    <row r="11" spans="1:12" x14ac:dyDescent="0.25">
      <c r="A11" s="1" t="s">
        <v>8</v>
      </c>
      <c r="B11" s="2">
        <v>44978</v>
      </c>
      <c r="C11" s="1">
        <v>150.19999694824199</v>
      </c>
      <c r="D11" s="1">
        <v>151.30000305175699</v>
      </c>
      <c r="E11" s="1">
        <v>148.41000366210901</v>
      </c>
      <c r="F11" s="1">
        <v>148.47999572753901</v>
      </c>
      <c r="G11" s="1">
        <v>148.47999572753901</v>
      </c>
      <c r="H11" s="1">
        <v>58867200</v>
      </c>
      <c r="I11">
        <f t="shared" ca="1" si="0"/>
        <v>264.11286054338672</v>
      </c>
      <c r="J11">
        <f t="shared" si="1"/>
        <v>0.28960664530127345</v>
      </c>
      <c r="K11" t="str">
        <f t="shared" si="3"/>
        <v>Weak Move</v>
      </c>
      <c r="L11">
        <f t="shared" si="2"/>
        <v>0.97651478776139433</v>
      </c>
    </row>
    <row r="12" spans="1:12" x14ac:dyDescent="0.25">
      <c r="A12" s="1" t="s">
        <v>8</v>
      </c>
      <c r="B12" s="2">
        <v>44979</v>
      </c>
      <c r="C12" s="1">
        <v>148.86999511718699</v>
      </c>
      <c r="D12" s="1">
        <v>149.94999694824199</v>
      </c>
      <c r="E12" s="1">
        <v>147.16000366210901</v>
      </c>
      <c r="F12" s="1">
        <v>148.91000366210901</v>
      </c>
      <c r="G12" s="1">
        <v>148.91000366210901</v>
      </c>
      <c r="H12" s="1">
        <v>51011300</v>
      </c>
      <c r="I12">
        <f t="shared" ca="1" si="0"/>
        <v>262.4571446010039</v>
      </c>
      <c r="J12">
        <f t="shared" si="1"/>
        <v>0.32905125399555729</v>
      </c>
      <c r="K12" t="str">
        <f t="shared" si="3"/>
        <v>Weak Move</v>
      </c>
      <c r="L12">
        <f t="shared" si="2"/>
        <v>0.84619769231308462</v>
      </c>
    </row>
    <row r="13" spans="1:12" x14ac:dyDescent="0.25">
      <c r="A13" s="1" t="s">
        <v>8</v>
      </c>
      <c r="B13" s="2">
        <v>44980</v>
      </c>
      <c r="C13" s="1">
        <v>150.08999633789</v>
      </c>
      <c r="D13" s="1">
        <v>150.33999633789</v>
      </c>
      <c r="E13" s="1">
        <v>147.24000549316401</v>
      </c>
      <c r="F13" s="1">
        <v>149.39999389648401</v>
      </c>
      <c r="G13" s="1">
        <v>149.39999389648401</v>
      </c>
      <c r="H13" s="1">
        <v>48394200</v>
      </c>
      <c r="I13">
        <f t="shared" ca="1" si="0"/>
        <v>260.09285845075271</v>
      </c>
      <c r="J13">
        <f t="shared" si="1"/>
        <v>-1.8005269695531918</v>
      </c>
      <c r="K13" t="str">
        <f t="shared" si="3"/>
        <v>Weak Move</v>
      </c>
      <c r="L13">
        <f t="shared" si="2"/>
        <v>0.80278409609905799</v>
      </c>
    </row>
    <row r="14" spans="1:12" x14ac:dyDescent="0.25">
      <c r="A14" s="1" t="s">
        <v>8</v>
      </c>
      <c r="B14" s="2">
        <v>44981</v>
      </c>
      <c r="C14" s="1">
        <v>147.11000061035099</v>
      </c>
      <c r="D14" s="1">
        <v>147.19000244140599</v>
      </c>
      <c r="E14" s="1">
        <v>145.72000122070301</v>
      </c>
      <c r="F14" s="1">
        <v>146.71000671386699</v>
      </c>
      <c r="G14" s="1">
        <v>146.71000671386699</v>
      </c>
      <c r="H14" s="1">
        <v>55469600</v>
      </c>
      <c r="I14">
        <f t="shared" ca="1" si="0"/>
        <v>256.81428527831974</v>
      </c>
      <c r="J14">
        <f t="shared" si="1"/>
        <v>0.82475045989050666</v>
      </c>
      <c r="K14" t="str">
        <f t="shared" si="3"/>
        <v>Strong Up</v>
      </c>
      <c r="L14">
        <f t="shared" si="2"/>
        <v>0.92015391714247385</v>
      </c>
    </row>
    <row r="15" spans="1:12" x14ac:dyDescent="0.25">
      <c r="A15" s="1" t="s">
        <v>8</v>
      </c>
      <c r="B15" s="2">
        <v>44984</v>
      </c>
      <c r="C15" s="1">
        <v>147.71000671386699</v>
      </c>
      <c r="D15" s="1">
        <v>149.169998168945</v>
      </c>
      <c r="E15" s="1">
        <v>147.44999694824199</v>
      </c>
      <c r="F15" s="1">
        <v>147.919998168945</v>
      </c>
      <c r="G15" s="1">
        <v>147.919998168945</v>
      </c>
      <c r="H15" s="1">
        <v>44998500</v>
      </c>
      <c r="I15">
        <f t="shared" ca="1" si="0"/>
        <v>254.0771418980184</v>
      </c>
      <c r="J15">
        <f t="shared" si="1"/>
        <v>-0.34477725334576492</v>
      </c>
      <c r="K15" t="str">
        <f t="shared" si="3"/>
        <v>Weak Move</v>
      </c>
      <c r="L15">
        <f t="shared" si="2"/>
        <v>0.74645474350879781</v>
      </c>
    </row>
    <row r="16" spans="1:12" x14ac:dyDescent="0.25">
      <c r="A16" s="1" t="s">
        <v>8</v>
      </c>
      <c r="B16" s="2">
        <v>44985</v>
      </c>
      <c r="C16" s="1">
        <v>147.05000305175699</v>
      </c>
      <c r="D16" s="1">
        <v>149.08000183105401</v>
      </c>
      <c r="E16" s="1">
        <v>146.83000183105401</v>
      </c>
      <c r="F16" s="1">
        <v>147.41000366210901</v>
      </c>
      <c r="G16" s="1">
        <v>147.41000366210901</v>
      </c>
      <c r="H16" s="1">
        <v>50547000</v>
      </c>
      <c r="I16">
        <f t="shared" ca="1" si="0"/>
        <v>252.2585710797986</v>
      </c>
      <c r="J16">
        <f t="shared" si="1"/>
        <v>-1.4246021649450582</v>
      </c>
      <c r="K16" t="str">
        <f t="shared" si="3"/>
        <v>Strong Down</v>
      </c>
      <c r="L16">
        <f t="shared" si="2"/>
        <v>0.8384956814146961</v>
      </c>
    </row>
    <row r="17" spans="1:12" x14ac:dyDescent="0.25">
      <c r="A17" s="1" t="s">
        <v>8</v>
      </c>
      <c r="B17" s="2">
        <v>44986</v>
      </c>
      <c r="C17" s="1">
        <v>146.83000183105401</v>
      </c>
      <c r="D17" s="1">
        <v>147.22999572753901</v>
      </c>
      <c r="E17" s="1">
        <v>145.009994506835</v>
      </c>
      <c r="F17" s="1">
        <v>145.30999755859301</v>
      </c>
      <c r="G17" s="1">
        <v>145.30999755859301</v>
      </c>
      <c r="H17" s="1">
        <v>55479000</v>
      </c>
      <c r="I17">
        <f t="shared" ca="1" si="0"/>
        <v>250.57428632463672</v>
      </c>
      <c r="J17">
        <f t="shared" si="1"/>
        <v>0.41291453691894486</v>
      </c>
      <c r="K17" t="str">
        <f t="shared" si="3"/>
        <v>Strong Up</v>
      </c>
      <c r="L17">
        <f t="shared" si="2"/>
        <v>0.92030984844216124</v>
      </c>
    </row>
    <row r="18" spans="1:12" x14ac:dyDescent="0.25">
      <c r="A18" s="1" t="s">
        <v>8</v>
      </c>
      <c r="B18" s="2">
        <v>44987</v>
      </c>
      <c r="C18" s="1">
        <v>144.38000488281199</v>
      </c>
      <c r="D18" s="1">
        <v>146.71000671386699</v>
      </c>
      <c r="E18" s="1">
        <v>143.89999389648401</v>
      </c>
      <c r="F18" s="1">
        <v>145.91000366210901</v>
      </c>
      <c r="G18" s="1">
        <v>145.91000366210901</v>
      </c>
      <c r="H18" s="1">
        <v>52238100</v>
      </c>
      <c r="I18">
        <f t="shared" ca="1" si="0"/>
        <v>250.35142953055188</v>
      </c>
      <c r="J18">
        <f t="shared" si="1"/>
        <v>3.5090089703812311</v>
      </c>
      <c r="K18" t="str">
        <f t="shared" si="3"/>
        <v>Weak Move</v>
      </c>
      <c r="L18">
        <f t="shared" si="2"/>
        <v>0.86654838576590176</v>
      </c>
    </row>
    <row r="19" spans="1:12" x14ac:dyDescent="0.25">
      <c r="A19" s="1" t="s">
        <v>8</v>
      </c>
      <c r="B19" s="2">
        <v>44988</v>
      </c>
      <c r="C19" s="1">
        <v>148.03999328613199</v>
      </c>
      <c r="D19" s="1">
        <v>151.11000061035099</v>
      </c>
      <c r="E19" s="1">
        <v>147.33000183105401</v>
      </c>
      <c r="F19" s="1">
        <v>151.02999877929599</v>
      </c>
      <c r="G19" s="1">
        <v>151.02999877929599</v>
      </c>
      <c r="H19" s="1">
        <v>70732300</v>
      </c>
      <c r="I19">
        <f t="shared" ca="1" si="0"/>
        <v>250.8914293561657</v>
      </c>
      <c r="J19">
        <f t="shared" si="1"/>
        <v>1.8539383396604059</v>
      </c>
      <c r="K19" t="str">
        <f t="shared" si="3"/>
        <v>Strong Up</v>
      </c>
      <c r="L19">
        <f t="shared" si="2"/>
        <v>1.1733382413699864</v>
      </c>
    </row>
    <row r="20" spans="1:12" x14ac:dyDescent="0.25">
      <c r="A20" s="1" t="s">
        <v>8</v>
      </c>
      <c r="B20" s="2">
        <v>44991</v>
      </c>
      <c r="C20" s="1">
        <v>153.78999328613199</v>
      </c>
      <c r="D20" s="1">
        <v>156.30000305175699</v>
      </c>
      <c r="E20" s="1">
        <v>153.46000671386699</v>
      </c>
      <c r="F20" s="1">
        <v>153.83000183105401</v>
      </c>
      <c r="G20" s="1">
        <v>153.83000183105401</v>
      </c>
      <c r="H20" s="1">
        <v>87558000</v>
      </c>
      <c r="I20">
        <f t="shared" ca="1" si="0"/>
        <v>251.19142804826956</v>
      </c>
      <c r="J20">
        <f t="shared" si="1"/>
        <v>-1.44964941883582</v>
      </c>
      <c r="K20" t="str">
        <f t="shared" si="3"/>
        <v>Strong Down</v>
      </c>
      <c r="L20">
        <f t="shared" si="2"/>
        <v>1.4524502912795609</v>
      </c>
    </row>
    <row r="21" spans="1:12" x14ac:dyDescent="0.25">
      <c r="A21" s="1" t="s">
        <v>8</v>
      </c>
      <c r="B21" s="2">
        <v>44992</v>
      </c>
      <c r="C21" s="1">
        <v>153.69999694824199</v>
      </c>
      <c r="D21" s="1">
        <v>154.02999877929599</v>
      </c>
      <c r="E21" s="1">
        <v>151.13000488281199</v>
      </c>
      <c r="F21" s="1">
        <v>151.600006103515</v>
      </c>
      <c r="G21" s="1">
        <v>151.600006103515</v>
      </c>
      <c r="H21" s="1">
        <v>56182000</v>
      </c>
      <c r="I21">
        <f t="shared" ca="1" si="0"/>
        <v>251.89571271623828</v>
      </c>
      <c r="J21">
        <f t="shared" si="1"/>
        <v>0.83772359006688901</v>
      </c>
      <c r="K21" t="str">
        <f t="shared" si="3"/>
        <v>Weak Move</v>
      </c>
      <c r="L21">
        <f t="shared" si="2"/>
        <v>0.93197151904644104</v>
      </c>
    </row>
    <row r="22" spans="1:12" x14ac:dyDescent="0.25">
      <c r="A22" s="1" t="s">
        <v>8</v>
      </c>
      <c r="B22" s="2">
        <v>44993</v>
      </c>
      <c r="C22" s="1">
        <v>152.80999755859301</v>
      </c>
      <c r="D22" s="1">
        <v>153.47000122070301</v>
      </c>
      <c r="E22" s="1">
        <v>151.83000183105401</v>
      </c>
      <c r="F22" s="1">
        <v>152.86999511718699</v>
      </c>
      <c r="G22" s="1">
        <v>152.86999511718699</v>
      </c>
      <c r="H22" s="1">
        <v>47204800</v>
      </c>
      <c r="I22">
        <f t="shared" ca="1" si="0"/>
        <v>252.40142604282869</v>
      </c>
      <c r="J22">
        <f t="shared" si="1"/>
        <v>-1.4914625839748268</v>
      </c>
      <c r="K22" t="str">
        <f t="shared" si="3"/>
        <v>Weak Move</v>
      </c>
      <c r="L22">
        <f t="shared" si="2"/>
        <v>0.78305381015776299</v>
      </c>
    </row>
    <row r="23" spans="1:12" x14ac:dyDescent="0.25">
      <c r="A23" s="1" t="s">
        <v>8</v>
      </c>
      <c r="B23" s="2">
        <v>44994</v>
      </c>
      <c r="C23" s="1">
        <v>153.55999755859301</v>
      </c>
      <c r="D23" s="1">
        <v>154.53999328613199</v>
      </c>
      <c r="E23" s="1">
        <v>150.22999572753901</v>
      </c>
      <c r="F23" s="1">
        <v>150.58999633789</v>
      </c>
      <c r="G23" s="1">
        <v>150.58999633789</v>
      </c>
      <c r="H23" s="1">
        <v>53833600</v>
      </c>
      <c r="I23">
        <f t="shared" ca="1" si="0"/>
        <v>252.81571306501058</v>
      </c>
      <c r="J23">
        <f t="shared" si="1"/>
        <v>-1.3878719627567551</v>
      </c>
      <c r="K23" t="str">
        <f t="shared" si="3"/>
        <v>Strong Down</v>
      </c>
      <c r="L23">
        <f t="shared" si="2"/>
        <v>0.89301523562241447</v>
      </c>
    </row>
    <row r="24" spans="1:12" x14ac:dyDescent="0.25">
      <c r="A24" s="1" t="s">
        <v>8</v>
      </c>
      <c r="B24" s="2">
        <v>44995</v>
      </c>
      <c r="C24" s="1">
        <v>150.21000671386699</v>
      </c>
      <c r="D24" s="1">
        <v>150.94000244140599</v>
      </c>
      <c r="E24" s="1">
        <v>147.61000061035099</v>
      </c>
      <c r="F24" s="1">
        <v>148.5</v>
      </c>
      <c r="G24" s="1">
        <v>148.5</v>
      </c>
      <c r="H24" s="1">
        <v>68572400</v>
      </c>
      <c r="I24">
        <f t="shared" ca="1" si="0"/>
        <v>253.14714050292918</v>
      </c>
      <c r="J24">
        <f t="shared" si="1"/>
        <v>1.3266001486215564</v>
      </c>
      <c r="K24" t="str">
        <f t="shared" si="3"/>
        <v>Strong Up</v>
      </c>
      <c r="L24">
        <f t="shared" si="2"/>
        <v>1.137508878157776</v>
      </c>
    </row>
    <row r="25" spans="1:12" x14ac:dyDescent="0.25">
      <c r="A25" s="1" t="s">
        <v>8</v>
      </c>
      <c r="B25" s="2">
        <v>44998</v>
      </c>
      <c r="C25" s="1">
        <v>147.80999755859301</v>
      </c>
      <c r="D25" s="1">
        <v>153.13999938964801</v>
      </c>
      <c r="E25" s="1">
        <v>147.69999694824199</v>
      </c>
      <c r="F25" s="1">
        <v>150.47000122070301</v>
      </c>
      <c r="G25" s="1">
        <v>150.47000122070301</v>
      </c>
      <c r="H25" s="1">
        <v>84457100</v>
      </c>
      <c r="I25">
        <f t="shared" ca="1" si="0"/>
        <v>253.54856872558543</v>
      </c>
      <c r="J25">
        <f t="shared" si="1"/>
        <v>1.4089154648689539</v>
      </c>
      <c r="K25" t="str">
        <f t="shared" si="3"/>
        <v>Strong Up</v>
      </c>
      <c r="L25">
        <f t="shared" si="2"/>
        <v>1.4010112096624752</v>
      </c>
    </row>
    <row r="26" spans="1:12" x14ac:dyDescent="0.25">
      <c r="A26" s="1" t="s">
        <v>8</v>
      </c>
      <c r="B26" s="2">
        <v>44999</v>
      </c>
      <c r="C26" s="1">
        <v>151.27999877929599</v>
      </c>
      <c r="D26" s="1">
        <v>153.39999389648401</v>
      </c>
      <c r="E26" s="1">
        <v>150.100006103515</v>
      </c>
      <c r="F26" s="1">
        <v>152.58999633789</v>
      </c>
      <c r="G26" s="1">
        <v>152.58999633789</v>
      </c>
      <c r="H26" s="1">
        <v>73695900</v>
      </c>
      <c r="I26">
        <f t="shared" ca="1" si="0"/>
        <v>254.33428519112672</v>
      </c>
      <c r="J26">
        <f t="shared" si="1"/>
        <v>0.26214638238029675</v>
      </c>
      <c r="K26" t="str">
        <f t="shared" si="3"/>
        <v>Weak Move</v>
      </c>
      <c r="L26">
        <f t="shared" si="2"/>
        <v>1.2224997307054681</v>
      </c>
    </row>
    <row r="27" spans="1:12" x14ac:dyDescent="0.25">
      <c r="A27" s="1" t="s">
        <v>8</v>
      </c>
      <c r="B27" s="2">
        <v>45000</v>
      </c>
      <c r="C27" s="1">
        <v>151.19000244140599</v>
      </c>
      <c r="D27" s="1">
        <v>153.25</v>
      </c>
      <c r="E27" s="1">
        <v>149.919998168945</v>
      </c>
      <c r="F27" s="1">
        <v>152.99000549316401</v>
      </c>
      <c r="G27" s="1">
        <v>152.99000549316401</v>
      </c>
      <c r="H27" s="1">
        <v>77167900</v>
      </c>
      <c r="I27">
        <f t="shared" ca="1" si="0"/>
        <v>255.55857195172942</v>
      </c>
      <c r="J27">
        <f t="shared" si="1"/>
        <v>1.869403560795863</v>
      </c>
      <c r="K27" t="str">
        <f t="shared" si="3"/>
        <v>Strong Up</v>
      </c>
      <c r="L27">
        <f t="shared" si="2"/>
        <v>1.2800947809729781</v>
      </c>
    </row>
    <row r="28" spans="1:12" x14ac:dyDescent="0.25">
      <c r="A28" s="1" t="s">
        <v>8</v>
      </c>
      <c r="B28" s="2">
        <v>45001</v>
      </c>
      <c r="C28" s="1">
        <v>152.16000366210901</v>
      </c>
      <c r="D28" s="1">
        <v>156.46000671386699</v>
      </c>
      <c r="E28" s="1">
        <v>151.63999938964801</v>
      </c>
      <c r="F28" s="1">
        <v>155.850006103515</v>
      </c>
      <c r="G28" s="1">
        <v>155.850006103515</v>
      </c>
      <c r="H28" s="1">
        <v>76161100</v>
      </c>
      <c r="I28">
        <f t="shared" ca="1" si="0"/>
        <v>258.70857456752185</v>
      </c>
      <c r="J28">
        <f t="shared" si="1"/>
        <v>-0.54540010922452509</v>
      </c>
      <c r="K28" t="str">
        <f t="shared" si="3"/>
        <v>Weak Move</v>
      </c>
      <c r="L28">
        <f t="shared" si="2"/>
        <v>1.2633935434702912</v>
      </c>
    </row>
    <row r="29" spans="1:12" x14ac:dyDescent="0.25">
      <c r="A29" s="1" t="s">
        <v>8</v>
      </c>
      <c r="B29" s="2">
        <v>45002</v>
      </c>
      <c r="C29" s="1">
        <v>156.08000183105401</v>
      </c>
      <c r="D29" s="1">
        <v>156.74000549316401</v>
      </c>
      <c r="E29" s="1">
        <v>154.27999877929599</v>
      </c>
      <c r="F29" s="1">
        <v>155</v>
      </c>
      <c r="G29" s="1">
        <v>155</v>
      </c>
      <c r="H29" s="1">
        <v>98944600</v>
      </c>
      <c r="I29">
        <f t="shared" ca="1" si="0"/>
        <v>262.38428824288457</v>
      </c>
      <c r="J29">
        <f t="shared" si="1"/>
        <v>1.548383159021939</v>
      </c>
      <c r="K29" t="str">
        <f t="shared" si="3"/>
        <v>Strong Up</v>
      </c>
      <c r="L29">
        <f t="shared" si="2"/>
        <v>1.6413361781966198</v>
      </c>
    </row>
    <row r="30" spans="1:12" x14ac:dyDescent="0.25">
      <c r="A30" s="1" t="s">
        <v>8</v>
      </c>
      <c r="B30" s="2">
        <v>45005</v>
      </c>
      <c r="C30" s="1">
        <v>155.07000732421801</v>
      </c>
      <c r="D30" s="1">
        <v>157.82000732421801</v>
      </c>
      <c r="E30" s="1">
        <v>154.14999389648401</v>
      </c>
      <c r="F30" s="1">
        <v>157.39999389648401</v>
      </c>
      <c r="G30" s="1">
        <v>157.39999389648401</v>
      </c>
      <c r="H30" s="1">
        <v>73641400</v>
      </c>
      <c r="I30">
        <f t="shared" ca="1" si="0"/>
        <v>265.22857448032886</v>
      </c>
      <c r="J30">
        <f t="shared" si="1"/>
        <v>1.1944122971493862</v>
      </c>
      <c r="K30" t="str">
        <f t="shared" si="3"/>
        <v>Weak Move</v>
      </c>
      <c r="L30">
        <f t="shared" si="2"/>
        <v>1.2215956609360041</v>
      </c>
    </row>
    <row r="31" spans="1:12" x14ac:dyDescent="0.25">
      <c r="A31" s="1" t="s">
        <v>8</v>
      </c>
      <c r="B31" s="2">
        <v>45006</v>
      </c>
      <c r="C31" s="1">
        <v>157.32000732421801</v>
      </c>
      <c r="D31" s="1">
        <v>159.39999389648401</v>
      </c>
      <c r="E31" s="1">
        <v>156.53999328613199</v>
      </c>
      <c r="F31" s="1">
        <v>159.27999877929599</v>
      </c>
      <c r="G31" s="1">
        <v>159.27999877929599</v>
      </c>
      <c r="H31" s="1">
        <v>73938300</v>
      </c>
      <c r="I31">
        <f t="shared" ca="1" si="0"/>
        <v>268.82714625767261</v>
      </c>
      <c r="J31">
        <f t="shared" si="1"/>
        <v>-0.91034465052398428</v>
      </c>
      <c r="K31" t="str">
        <f t="shared" si="3"/>
        <v>Strong Down</v>
      </c>
      <c r="L31">
        <f t="shared" si="2"/>
        <v>1.2265207676250662</v>
      </c>
    </row>
    <row r="32" spans="1:12" x14ac:dyDescent="0.25">
      <c r="A32" s="1" t="s">
        <v>8</v>
      </c>
      <c r="B32" s="2">
        <v>45007</v>
      </c>
      <c r="C32" s="1">
        <v>159.30000305175699</v>
      </c>
      <c r="D32" s="1">
        <v>162.13999938964801</v>
      </c>
      <c r="E32" s="1">
        <v>157.80999755859301</v>
      </c>
      <c r="F32" s="1">
        <v>157.83000183105401</v>
      </c>
      <c r="G32" s="1">
        <v>157.83000183105401</v>
      </c>
      <c r="H32" s="1">
        <v>75701800</v>
      </c>
      <c r="I32">
        <f t="shared" ca="1" si="0"/>
        <v>271.45143345424054</v>
      </c>
      <c r="J32">
        <f t="shared" si="1"/>
        <v>0.69694660835425459</v>
      </c>
      <c r="K32" t="str">
        <f t="shared" si="3"/>
        <v>Strong Up</v>
      </c>
      <c r="L32">
        <f t="shared" si="2"/>
        <v>1.2557744747525876</v>
      </c>
    </row>
    <row r="33" spans="1:12" x14ac:dyDescent="0.25">
      <c r="A33" s="1" t="s">
        <v>8</v>
      </c>
      <c r="B33" s="2">
        <v>45008</v>
      </c>
      <c r="C33" s="1">
        <v>158.83000183105401</v>
      </c>
      <c r="D33" s="1">
        <v>161.55000305175699</v>
      </c>
      <c r="E33" s="1">
        <v>157.67999267578099</v>
      </c>
      <c r="F33" s="1">
        <v>158.92999267578099</v>
      </c>
      <c r="G33" s="1">
        <v>158.92999267578099</v>
      </c>
      <c r="H33" s="1">
        <v>67622100</v>
      </c>
      <c r="I33">
        <f t="shared" ca="1" si="0"/>
        <v>273.86143275669599</v>
      </c>
      <c r="J33">
        <f t="shared" si="1"/>
        <v>0.83055897882776342</v>
      </c>
      <c r="K33" t="str">
        <f t="shared" si="3"/>
        <v>Weak Move</v>
      </c>
      <c r="L33">
        <f t="shared" si="2"/>
        <v>1.1217448872968272</v>
      </c>
    </row>
    <row r="34" spans="1:12" x14ac:dyDescent="0.25">
      <c r="A34" s="1" t="s">
        <v>8</v>
      </c>
      <c r="B34" s="2">
        <v>45009</v>
      </c>
      <c r="C34" s="1">
        <v>158.86000061035099</v>
      </c>
      <c r="D34" s="1">
        <v>160.33999633789</v>
      </c>
      <c r="E34" s="1">
        <v>157.850006103515</v>
      </c>
      <c r="F34" s="1">
        <v>160.25</v>
      </c>
      <c r="G34" s="1">
        <v>160.25</v>
      </c>
      <c r="H34" s="1">
        <v>59196500</v>
      </c>
      <c r="I34">
        <f t="shared" ca="1" si="0"/>
        <v>276.02286202566916</v>
      </c>
      <c r="J34">
        <f t="shared" si="1"/>
        <v>-1.2293299349166964</v>
      </c>
      <c r="K34" t="str">
        <f t="shared" si="3"/>
        <v>Weak Move</v>
      </c>
      <c r="L34">
        <f t="shared" si="2"/>
        <v>0.98197735978129386</v>
      </c>
    </row>
    <row r="35" spans="1:12" x14ac:dyDescent="0.25">
      <c r="A35" s="1" t="s">
        <v>8</v>
      </c>
      <c r="B35" s="2">
        <v>45012</v>
      </c>
      <c r="C35" s="1">
        <v>159.94000244140599</v>
      </c>
      <c r="D35" s="1">
        <v>160.77000427246</v>
      </c>
      <c r="E35" s="1">
        <v>157.86999511718699</v>
      </c>
      <c r="F35" s="1">
        <v>158.27999877929599</v>
      </c>
      <c r="G35" s="1">
        <v>158.27999877929599</v>
      </c>
      <c r="H35" s="1">
        <v>52390300</v>
      </c>
      <c r="I35">
        <f t="shared" ca="1" si="0"/>
        <v>276.04857526506646</v>
      </c>
      <c r="J35">
        <f t="shared" si="1"/>
        <v>-0.39803189769445269</v>
      </c>
      <c r="K35" t="str">
        <f t="shared" si="3"/>
        <v>Weak Move</v>
      </c>
      <c r="L35">
        <f t="shared" si="2"/>
        <v>0.86907314574594641</v>
      </c>
    </row>
    <row r="36" spans="1:12" x14ac:dyDescent="0.25">
      <c r="A36" s="1" t="s">
        <v>8</v>
      </c>
      <c r="B36" s="2">
        <v>45013</v>
      </c>
      <c r="C36" s="1">
        <v>157.97000122070301</v>
      </c>
      <c r="D36" s="1">
        <v>158.49000549316401</v>
      </c>
      <c r="E36" s="1">
        <v>155.97999572753901</v>
      </c>
      <c r="F36" s="1">
        <v>157.64999389648401</v>
      </c>
      <c r="G36" s="1">
        <v>157.64999389648401</v>
      </c>
      <c r="H36" s="1">
        <v>45992200</v>
      </c>
      <c r="I36">
        <f t="shared" ca="1" si="0"/>
        <v>275.44857788085886</v>
      </c>
      <c r="J36">
        <f t="shared" si="1"/>
        <v>1.9790742129838916</v>
      </c>
      <c r="K36" t="str">
        <f t="shared" si="3"/>
        <v>Weak Move</v>
      </c>
      <c r="L36">
        <f t="shared" si="2"/>
        <v>0.76293867249809066</v>
      </c>
    </row>
    <row r="37" spans="1:12" x14ac:dyDescent="0.25">
      <c r="A37" s="1" t="s">
        <v>8</v>
      </c>
      <c r="B37" s="2">
        <v>45014</v>
      </c>
      <c r="C37" s="1">
        <v>159.36999511718699</v>
      </c>
      <c r="D37" s="1">
        <v>161.05000305175699</v>
      </c>
      <c r="E37" s="1">
        <v>159.350006103515</v>
      </c>
      <c r="F37" s="1">
        <v>160.77000427246</v>
      </c>
      <c r="G37" s="1">
        <v>160.77000427246</v>
      </c>
      <c r="H37" s="1">
        <v>51305700</v>
      </c>
      <c r="I37">
        <f t="shared" ca="1" si="0"/>
        <v>276.63143484932988</v>
      </c>
      <c r="J37">
        <f t="shared" si="1"/>
        <v>0.98898817916083237</v>
      </c>
      <c r="K37" t="str">
        <f t="shared" si="3"/>
        <v>Strong Up</v>
      </c>
      <c r="L37">
        <f t="shared" si="2"/>
        <v>0.85108132791180435</v>
      </c>
    </row>
    <row r="38" spans="1:12" x14ac:dyDescent="0.25">
      <c r="A38" s="1" t="s">
        <v>8</v>
      </c>
      <c r="B38" s="2">
        <v>45015</v>
      </c>
      <c r="C38" s="1">
        <v>161.52999877929599</v>
      </c>
      <c r="D38" s="1">
        <v>162.47000122070301</v>
      </c>
      <c r="E38" s="1">
        <v>161.27000427246</v>
      </c>
      <c r="F38" s="1">
        <v>162.36000061035099</v>
      </c>
      <c r="G38" s="1">
        <v>162.36000061035099</v>
      </c>
      <c r="H38" s="1">
        <v>49501700</v>
      </c>
      <c r="I38">
        <f t="shared" ca="1" si="0"/>
        <v>278.09857613699728</v>
      </c>
      <c r="J38">
        <f t="shared" si="1"/>
        <v>1.5644205941023372</v>
      </c>
      <c r="K38" t="str">
        <f t="shared" si="3"/>
        <v>Weak Move</v>
      </c>
      <c r="L38">
        <f t="shared" si="2"/>
        <v>0.82115578912073639</v>
      </c>
    </row>
    <row r="39" spans="1:12" x14ac:dyDescent="0.25">
      <c r="A39" s="1" t="s">
        <v>8</v>
      </c>
      <c r="B39" s="2">
        <v>45016</v>
      </c>
      <c r="C39" s="1">
        <v>162.44000244140599</v>
      </c>
      <c r="D39" s="1">
        <v>165</v>
      </c>
      <c r="E39" s="1">
        <v>161.91000366210901</v>
      </c>
      <c r="F39" s="1">
        <v>164.89999389648401</v>
      </c>
      <c r="G39" s="1">
        <v>164.89999389648401</v>
      </c>
      <c r="H39" s="1">
        <v>68749800</v>
      </c>
      <c r="I39">
        <f t="shared" ca="1" si="0"/>
        <v>280.38571602957546</v>
      </c>
      <c r="J39">
        <f t="shared" si="1"/>
        <v>0.77016635504440323</v>
      </c>
      <c r="K39" t="str">
        <f t="shared" si="3"/>
        <v>Strong Up</v>
      </c>
      <c r="L39">
        <f t="shared" si="2"/>
        <v>1.1404516667284721</v>
      </c>
    </row>
    <row r="40" spans="1:12" x14ac:dyDescent="0.25">
      <c r="A40" s="1" t="s">
        <v>8</v>
      </c>
      <c r="B40" s="2">
        <v>45019</v>
      </c>
      <c r="C40" s="1">
        <v>164.27000427246</v>
      </c>
      <c r="D40" s="1">
        <v>166.28999328613199</v>
      </c>
      <c r="E40" s="1">
        <v>164.22000122070301</v>
      </c>
      <c r="F40" s="1">
        <v>166.169998168945</v>
      </c>
      <c r="G40" s="1">
        <v>166.169998168945</v>
      </c>
      <c r="H40" s="1">
        <v>56976200</v>
      </c>
      <c r="I40">
        <f t="shared" ca="1" si="0"/>
        <v>281.75285993303532</v>
      </c>
      <c r="J40">
        <f t="shared" si="1"/>
        <v>-0.32496436906980064</v>
      </c>
      <c r="K40" t="str">
        <f t="shared" si="3"/>
        <v>Weak Move</v>
      </c>
      <c r="L40">
        <f t="shared" si="2"/>
        <v>0.94514605502641125</v>
      </c>
    </row>
    <row r="41" spans="1:12" x14ac:dyDescent="0.25">
      <c r="A41" s="1" t="s">
        <v>8</v>
      </c>
      <c r="B41" s="2">
        <v>45020</v>
      </c>
      <c r="C41" s="1">
        <v>166.600006103515</v>
      </c>
      <c r="D41" s="1">
        <v>166.83999633789</v>
      </c>
      <c r="E41" s="1">
        <v>165.11000061035099</v>
      </c>
      <c r="F41" s="1">
        <v>165.63000488281199</v>
      </c>
      <c r="G41" s="1">
        <v>165.63000488281199</v>
      </c>
      <c r="H41" s="1">
        <v>46278300</v>
      </c>
      <c r="I41">
        <f t="shared" ca="1" si="0"/>
        <v>282.69714355468716</v>
      </c>
      <c r="J41">
        <f t="shared" si="1"/>
        <v>-1.1290287513425332</v>
      </c>
      <c r="K41" t="str">
        <f t="shared" si="3"/>
        <v>Weak Move</v>
      </c>
      <c r="L41">
        <f t="shared" si="2"/>
        <v>0.76768462407687366</v>
      </c>
    </row>
    <row r="42" spans="1:12" x14ac:dyDescent="0.25">
      <c r="A42" s="1" t="s">
        <v>8</v>
      </c>
      <c r="B42" s="2">
        <v>45021</v>
      </c>
      <c r="C42" s="1">
        <v>164.74000549316401</v>
      </c>
      <c r="D42" s="1">
        <v>165.05000305175699</v>
      </c>
      <c r="E42" s="1">
        <v>161.80000305175699</v>
      </c>
      <c r="F42" s="1">
        <v>163.759994506835</v>
      </c>
      <c r="G42" s="1">
        <v>163.759994506835</v>
      </c>
      <c r="H42" s="1">
        <v>51511700</v>
      </c>
      <c r="I42">
        <f t="shared" ca="1" si="0"/>
        <v>283.83428519112687</v>
      </c>
      <c r="J42">
        <f t="shared" si="1"/>
        <v>0.54959036728377597</v>
      </c>
      <c r="K42" t="str">
        <f t="shared" si="3"/>
        <v>Strong Up</v>
      </c>
      <c r="L42">
        <f t="shared" si="2"/>
        <v>0.85449854575601725</v>
      </c>
    </row>
    <row r="43" spans="1:12" x14ac:dyDescent="0.25">
      <c r="A43" s="1" t="s">
        <v>8</v>
      </c>
      <c r="B43" s="2">
        <v>45022</v>
      </c>
      <c r="C43" s="1">
        <v>162.42999267578099</v>
      </c>
      <c r="D43" s="1">
        <v>164.96000671386699</v>
      </c>
      <c r="E43" s="1">
        <v>162</v>
      </c>
      <c r="F43" s="1">
        <v>164.66000366210901</v>
      </c>
      <c r="G43" s="1">
        <v>164.66000366210901</v>
      </c>
      <c r="H43" s="1">
        <v>45390100</v>
      </c>
      <c r="I43">
        <f t="shared" ca="1" si="0"/>
        <v>286.17285592215359</v>
      </c>
      <c r="J43">
        <f t="shared" si="1"/>
        <v>-1.5972335869795802</v>
      </c>
      <c r="K43" t="str">
        <f t="shared" si="3"/>
        <v>Weak Move</v>
      </c>
      <c r="L43">
        <f t="shared" si="2"/>
        <v>0.75295077510002961</v>
      </c>
    </row>
    <row r="44" spans="1:12" x14ac:dyDescent="0.25">
      <c r="A44" s="1" t="s">
        <v>8</v>
      </c>
      <c r="B44" s="2">
        <v>45026</v>
      </c>
      <c r="C44" s="1">
        <v>161.419998168945</v>
      </c>
      <c r="D44" s="1">
        <v>162.02999877929599</v>
      </c>
      <c r="E44" s="1">
        <v>160.08000183105401</v>
      </c>
      <c r="F44" s="1">
        <v>162.02999877929599</v>
      </c>
      <c r="G44" s="1">
        <v>162.02999877929599</v>
      </c>
      <c r="H44" s="1">
        <v>47716900</v>
      </c>
      <c r="I44">
        <f t="shared" ca="1" si="0"/>
        <v>287.44142804826959</v>
      </c>
      <c r="J44">
        <f t="shared" si="1"/>
        <v>-0.75911605061134713</v>
      </c>
      <c r="K44" t="str">
        <f t="shared" si="3"/>
        <v>Strong Down</v>
      </c>
      <c r="L44">
        <f t="shared" si="2"/>
        <v>0.79154874830349797</v>
      </c>
    </row>
    <row r="45" spans="1:12" x14ac:dyDescent="0.25">
      <c r="A45" s="1" t="s">
        <v>8</v>
      </c>
      <c r="B45" s="2">
        <v>45027</v>
      </c>
      <c r="C45" s="1">
        <v>162.350006103515</v>
      </c>
      <c r="D45" s="1">
        <v>162.36000061035099</v>
      </c>
      <c r="E45" s="1">
        <v>160.509994506835</v>
      </c>
      <c r="F45" s="1">
        <v>160.80000305175699</v>
      </c>
      <c r="G45" s="1">
        <v>160.80000305175699</v>
      </c>
      <c r="H45" s="1">
        <v>47644200</v>
      </c>
      <c r="I45">
        <f t="shared" ca="1" si="0"/>
        <v>287.26714215959771</v>
      </c>
      <c r="J45">
        <f t="shared" si="1"/>
        <v>-0.43532147696333018</v>
      </c>
      <c r="K45" t="str">
        <f t="shared" si="3"/>
        <v>Weak Move</v>
      </c>
      <c r="L45">
        <f t="shared" si="2"/>
        <v>0.79034276899634126</v>
      </c>
    </row>
    <row r="46" spans="1:12" x14ac:dyDescent="0.25">
      <c r="A46" s="1" t="s">
        <v>8</v>
      </c>
      <c r="B46" s="2">
        <v>45028</v>
      </c>
      <c r="C46" s="1">
        <v>161.22000122070301</v>
      </c>
      <c r="D46" s="1">
        <v>162.05999755859301</v>
      </c>
      <c r="E46" s="1">
        <v>159.77999877929599</v>
      </c>
      <c r="F46" s="1">
        <v>160.100006103515</v>
      </c>
      <c r="G46" s="1">
        <v>160.100006103515</v>
      </c>
      <c r="H46" s="1">
        <v>50133100</v>
      </c>
      <c r="I46">
        <f t="shared" ca="1" si="0"/>
        <v>286.5799996512273</v>
      </c>
      <c r="J46">
        <f t="shared" si="1"/>
        <v>3.4103630524209811</v>
      </c>
      <c r="K46" t="str">
        <f t="shared" si="3"/>
        <v>Strong Up</v>
      </c>
      <c r="L46">
        <f t="shared" si="2"/>
        <v>0.83162972769761012</v>
      </c>
    </row>
    <row r="47" spans="1:12" x14ac:dyDescent="0.25">
      <c r="A47" s="1" t="s">
        <v>8</v>
      </c>
      <c r="B47" s="2">
        <v>45029</v>
      </c>
      <c r="C47" s="1">
        <v>161.63000488281199</v>
      </c>
      <c r="D47" s="1">
        <v>165.80000305175699</v>
      </c>
      <c r="E47" s="1">
        <v>161.419998168945</v>
      </c>
      <c r="F47" s="1">
        <v>165.55999755859301</v>
      </c>
      <c r="G47" s="1">
        <v>165.55999755859301</v>
      </c>
      <c r="H47" s="1">
        <v>68445600</v>
      </c>
      <c r="I47">
        <f t="shared" ca="1" si="0"/>
        <v>286.95285470145041</v>
      </c>
      <c r="J47">
        <f t="shared" si="1"/>
        <v>-0.21139819394002946</v>
      </c>
      <c r="K47" t="str">
        <f t="shared" si="3"/>
        <v>Strong Down</v>
      </c>
      <c r="L47">
        <f t="shared" si="2"/>
        <v>1.1354054644556102</v>
      </c>
    </row>
    <row r="48" spans="1:12" x14ac:dyDescent="0.25">
      <c r="A48" s="1" t="s">
        <v>8</v>
      </c>
      <c r="B48" s="2">
        <v>45030</v>
      </c>
      <c r="C48" s="1">
        <v>164.58999633789</v>
      </c>
      <c r="D48" s="1">
        <v>166.32000732421801</v>
      </c>
      <c r="E48" s="1">
        <v>163.82000732421801</v>
      </c>
      <c r="F48" s="1">
        <v>165.21000671386699</v>
      </c>
      <c r="G48" s="1">
        <v>165.21000671386699</v>
      </c>
      <c r="H48" s="1">
        <v>49386500</v>
      </c>
      <c r="I48">
        <f t="shared" ca="1" si="0"/>
        <v>286.80428641182982</v>
      </c>
      <c r="J48">
        <f t="shared" si="1"/>
        <v>1.2099154324614721E-2</v>
      </c>
      <c r="K48" t="str">
        <f t="shared" si="3"/>
        <v>Weak Move</v>
      </c>
      <c r="L48">
        <f t="shared" si="2"/>
        <v>0.81924480127775912</v>
      </c>
    </row>
    <row r="49" spans="1:12" x14ac:dyDescent="0.25">
      <c r="A49" s="1" t="s">
        <v>8</v>
      </c>
      <c r="B49" s="2">
        <v>45033</v>
      </c>
      <c r="C49" s="1">
        <v>165.08999633789</v>
      </c>
      <c r="D49" s="1">
        <v>165.38999938964801</v>
      </c>
      <c r="E49" s="1">
        <v>164.02999877929599</v>
      </c>
      <c r="F49" s="1">
        <v>165.22999572753901</v>
      </c>
      <c r="G49" s="1">
        <v>165.22999572753901</v>
      </c>
      <c r="H49" s="1">
        <v>41516200</v>
      </c>
      <c r="I49">
        <f t="shared" ca="1" si="0"/>
        <v>287.44142804826959</v>
      </c>
      <c r="J49">
        <f t="shared" si="1"/>
        <v>0.75047238711350572</v>
      </c>
      <c r="K49" t="str">
        <f t="shared" si="3"/>
        <v>Weak Move</v>
      </c>
      <c r="L49">
        <f t="shared" si="2"/>
        <v>0.68868883234907718</v>
      </c>
    </row>
    <row r="50" spans="1:12" x14ac:dyDescent="0.25">
      <c r="A50" s="1" t="s">
        <v>8</v>
      </c>
      <c r="B50" s="2">
        <v>45034</v>
      </c>
      <c r="C50" s="1">
        <v>166.100006103515</v>
      </c>
      <c r="D50" s="1">
        <v>167.41000366210901</v>
      </c>
      <c r="E50" s="1">
        <v>165.64999389648401</v>
      </c>
      <c r="F50" s="1">
        <v>166.47000122070301</v>
      </c>
      <c r="G50" s="1">
        <v>166.47000122070301</v>
      </c>
      <c r="H50" s="1">
        <v>49923000</v>
      </c>
      <c r="I50">
        <f t="shared" ca="1" si="0"/>
        <v>286.9799979073656</v>
      </c>
      <c r="J50">
        <f t="shared" si="1"/>
        <v>0.69682444500680008</v>
      </c>
      <c r="K50" t="str">
        <f t="shared" si="3"/>
        <v>Strong Up</v>
      </c>
      <c r="L50">
        <f t="shared" si="2"/>
        <v>0.82814449726523576</v>
      </c>
    </row>
    <row r="51" spans="1:12" x14ac:dyDescent="0.25">
      <c r="A51" s="1" t="s">
        <v>8</v>
      </c>
      <c r="B51" s="2">
        <v>45035</v>
      </c>
      <c r="C51" s="1">
        <v>165.80000305175699</v>
      </c>
      <c r="D51" s="1">
        <v>168.16000366210901</v>
      </c>
      <c r="E51" s="1">
        <v>165.53999328613199</v>
      </c>
      <c r="F51" s="1">
        <v>167.63000488281199</v>
      </c>
      <c r="G51" s="1">
        <v>167.63000488281199</v>
      </c>
      <c r="H51" s="1">
        <v>47720200</v>
      </c>
      <c r="I51">
        <f t="shared" ca="1" si="0"/>
        <v>286.84571184430757</v>
      </c>
      <c r="J51">
        <f t="shared" si="1"/>
        <v>-0.58462742813441793</v>
      </c>
      <c r="K51" t="str">
        <f t="shared" si="3"/>
        <v>Weak Move</v>
      </c>
      <c r="L51">
        <f t="shared" si="2"/>
        <v>0.79160349014274989</v>
      </c>
    </row>
    <row r="52" spans="1:12" x14ac:dyDescent="0.25">
      <c r="A52" s="1" t="s">
        <v>8</v>
      </c>
      <c r="B52" s="2">
        <v>45036</v>
      </c>
      <c r="C52" s="1">
        <v>166.08999633789</v>
      </c>
      <c r="D52" s="1">
        <v>167.86999511718699</v>
      </c>
      <c r="E52" s="1">
        <v>165.55999755859301</v>
      </c>
      <c r="F52" s="1">
        <v>166.64999389648401</v>
      </c>
      <c r="G52" s="1">
        <v>166.64999389648401</v>
      </c>
      <c r="H52" s="1">
        <v>52456400</v>
      </c>
      <c r="I52">
        <f t="shared" ca="1" si="0"/>
        <v>287.31428309849287</v>
      </c>
      <c r="J52">
        <f t="shared" si="1"/>
        <v>-0.97809161939513023</v>
      </c>
      <c r="K52" t="str">
        <f t="shared" si="3"/>
        <v>Strong Down</v>
      </c>
      <c r="L52">
        <f t="shared" si="2"/>
        <v>0.87016964137459918</v>
      </c>
    </row>
    <row r="53" spans="1:12" x14ac:dyDescent="0.25">
      <c r="A53" s="1" t="s">
        <v>8</v>
      </c>
      <c r="B53" s="2">
        <v>45037</v>
      </c>
      <c r="C53" s="1">
        <v>165.05000305175699</v>
      </c>
      <c r="D53" s="1">
        <v>166.44999694824199</v>
      </c>
      <c r="E53" s="1">
        <v>164.49000549316401</v>
      </c>
      <c r="F53" s="1">
        <v>165.02000427246</v>
      </c>
      <c r="G53" s="1">
        <v>165.02000427246</v>
      </c>
      <c r="H53" s="1">
        <v>58337300</v>
      </c>
      <c r="I53">
        <f t="shared" ca="1" si="0"/>
        <v>287.63857160295714</v>
      </c>
      <c r="J53">
        <f t="shared" si="1"/>
        <v>0.18785453312810327</v>
      </c>
      <c r="K53" t="str">
        <f t="shared" si="3"/>
        <v>Strong Up</v>
      </c>
      <c r="L53">
        <f t="shared" si="2"/>
        <v>0.96772457545242152</v>
      </c>
    </row>
    <row r="54" spans="1:12" x14ac:dyDescent="0.25">
      <c r="A54" s="1" t="s">
        <v>8</v>
      </c>
      <c r="B54" s="2">
        <v>45040</v>
      </c>
      <c r="C54" s="1">
        <v>165</v>
      </c>
      <c r="D54" s="1">
        <v>165.600006103515</v>
      </c>
      <c r="E54" s="1">
        <v>163.88999938964801</v>
      </c>
      <c r="F54" s="1">
        <v>165.33000183105401</v>
      </c>
      <c r="G54" s="1">
        <v>165.33000183105401</v>
      </c>
      <c r="H54" s="1">
        <v>41949600</v>
      </c>
      <c r="I54">
        <f t="shared" ca="1" si="0"/>
        <v>286.485713413783</v>
      </c>
      <c r="J54">
        <f t="shared" si="1"/>
        <v>-0.94356592349652457</v>
      </c>
      <c r="K54" t="str">
        <f t="shared" si="3"/>
        <v>Weak Move</v>
      </c>
      <c r="L54">
        <f t="shared" si="2"/>
        <v>0.6958782605708338</v>
      </c>
    </row>
    <row r="55" spans="1:12" x14ac:dyDescent="0.25">
      <c r="A55" s="1" t="s">
        <v>8</v>
      </c>
      <c r="B55" s="2">
        <v>45041</v>
      </c>
      <c r="C55" s="1">
        <v>165.19000244140599</v>
      </c>
      <c r="D55" s="1">
        <v>166.30999755859301</v>
      </c>
      <c r="E55" s="1">
        <v>163.72999572753901</v>
      </c>
      <c r="F55" s="1">
        <v>163.77000427246</v>
      </c>
      <c r="G55" s="1">
        <v>163.77000427246</v>
      </c>
      <c r="H55" s="1">
        <v>48714100</v>
      </c>
      <c r="I55">
        <f t="shared" ca="1" si="0"/>
        <v>284.95428466796824</v>
      </c>
      <c r="J55">
        <f t="shared" si="1"/>
        <v>-6.1120872955141448E-3</v>
      </c>
      <c r="K55" t="str">
        <f t="shared" si="3"/>
        <v>Strong Down</v>
      </c>
      <c r="L55">
        <f t="shared" si="2"/>
        <v>0.80809073681927013</v>
      </c>
    </row>
    <row r="56" spans="1:12" x14ac:dyDescent="0.25">
      <c r="A56" s="1" t="s">
        <v>8</v>
      </c>
      <c r="B56" s="2">
        <v>45042</v>
      </c>
      <c r="C56" s="1">
        <v>163.05999755859301</v>
      </c>
      <c r="D56" s="1">
        <v>165.27999877929599</v>
      </c>
      <c r="E56" s="1">
        <v>162.80000305175699</v>
      </c>
      <c r="F56" s="1">
        <v>163.759994506835</v>
      </c>
      <c r="G56" s="1">
        <v>163.759994506835</v>
      </c>
      <c r="H56" s="1">
        <v>45498800</v>
      </c>
      <c r="I56">
        <f t="shared" ca="1" si="0"/>
        <v>285.89285714285671</v>
      </c>
      <c r="J56">
        <f t="shared" si="1"/>
        <v>2.8395269365253455</v>
      </c>
      <c r="K56" t="str">
        <f t="shared" si="3"/>
        <v>Weak Move</v>
      </c>
      <c r="L56">
        <f t="shared" si="2"/>
        <v>0.75475393810811675</v>
      </c>
    </row>
    <row r="57" spans="1:12" x14ac:dyDescent="0.25">
      <c r="A57" s="1" t="s">
        <v>8</v>
      </c>
      <c r="B57" s="2">
        <v>45043</v>
      </c>
      <c r="C57" s="1">
        <v>165.19000244140599</v>
      </c>
      <c r="D57" s="1">
        <v>168.55999755859301</v>
      </c>
      <c r="E57" s="1">
        <v>165.19000244140599</v>
      </c>
      <c r="F57" s="1">
        <v>168.41000366210901</v>
      </c>
      <c r="G57" s="1">
        <v>168.41000366210901</v>
      </c>
      <c r="H57" s="1">
        <v>64902300</v>
      </c>
      <c r="I57">
        <f t="shared" ca="1" si="0"/>
        <v>288.24428449358214</v>
      </c>
      <c r="J57">
        <f t="shared" si="1"/>
        <v>0.75410544864071327</v>
      </c>
      <c r="K57" t="str">
        <f t="shared" si="3"/>
        <v>Strong Up</v>
      </c>
      <c r="L57">
        <f t="shared" si="2"/>
        <v>1.0766276586915353</v>
      </c>
    </row>
    <row r="58" spans="1:12" x14ac:dyDescent="0.25">
      <c r="A58" s="1" t="s">
        <v>8</v>
      </c>
      <c r="B58" s="2">
        <v>45044</v>
      </c>
      <c r="C58" s="1">
        <v>168.49000549316401</v>
      </c>
      <c r="D58" s="1">
        <v>169.850006103515</v>
      </c>
      <c r="E58" s="1">
        <v>167.88000488281199</v>
      </c>
      <c r="F58" s="1">
        <v>169.67999267578099</v>
      </c>
      <c r="G58" s="1">
        <v>169.67999267578099</v>
      </c>
      <c r="H58" s="1">
        <v>55209200</v>
      </c>
      <c r="I58">
        <f t="shared" ca="1" si="0"/>
        <v>290.93142700195273</v>
      </c>
      <c r="J58">
        <f t="shared" si="1"/>
        <v>-5.3038862432624304E-2</v>
      </c>
      <c r="K58" t="str">
        <f t="shared" si="3"/>
        <v>Weak Move</v>
      </c>
      <c r="L58">
        <f t="shared" si="2"/>
        <v>0.91583428837241065</v>
      </c>
    </row>
    <row r="59" spans="1:12" x14ac:dyDescent="0.25">
      <c r="A59" s="1" t="s">
        <v>8</v>
      </c>
      <c r="B59" s="2">
        <v>45047</v>
      </c>
      <c r="C59" s="1">
        <v>169.27999877929599</v>
      </c>
      <c r="D59" s="1">
        <v>170.44999694824199</v>
      </c>
      <c r="E59" s="1">
        <v>168.63999938964801</v>
      </c>
      <c r="F59" s="1">
        <v>169.58999633789</v>
      </c>
      <c r="G59" s="1">
        <v>169.58999633789</v>
      </c>
      <c r="H59" s="1">
        <v>52472900</v>
      </c>
      <c r="I59">
        <f t="shared" ca="1" si="0"/>
        <v>293.7100001743857</v>
      </c>
      <c r="J59">
        <f t="shared" si="1"/>
        <v>-0.61914209235902817</v>
      </c>
      <c r="K59" t="str">
        <f t="shared" si="3"/>
        <v>Weak Move</v>
      </c>
      <c r="L59">
        <f t="shared" si="2"/>
        <v>0.87044335057085898</v>
      </c>
    </row>
    <row r="60" spans="1:12" x14ac:dyDescent="0.25">
      <c r="A60" s="1" t="s">
        <v>8</v>
      </c>
      <c r="B60" s="2">
        <v>45048</v>
      </c>
      <c r="C60" s="1">
        <v>170.08999633789</v>
      </c>
      <c r="D60" s="1">
        <v>170.350006103515</v>
      </c>
      <c r="E60" s="1">
        <v>167.53999328613199</v>
      </c>
      <c r="F60" s="1">
        <v>168.53999328613199</v>
      </c>
      <c r="G60" s="1">
        <v>168.53999328613199</v>
      </c>
      <c r="H60" s="1">
        <v>48425700</v>
      </c>
      <c r="I60">
        <f t="shared" ca="1" si="0"/>
        <v>296.51714215959771</v>
      </c>
      <c r="J60">
        <f t="shared" si="1"/>
        <v>-0.64672859932983517</v>
      </c>
      <c r="K60" t="str">
        <f t="shared" si="3"/>
        <v>Weak Move</v>
      </c>
      <c r="L60">
        <f t="shared" si="2"/>
        <v>0.80330663183737216</v>
      </c>
    </row>
    <row r="61" spans="1:12" x14ac:dyDescent="0.25">
      <c r="A61" s="1" t="s">
        <v>8</v>
      </c>
      <c r="B61" s="2">
        <v>45049</v>
      </c>
      <c r="C61" s="1">
        <v>169.5</v>
      </c>
      <c r="D61" s="1">
        <v>170.919998168945</v>
      </c>
      <c r="E61" s="1">
        <v>167.16000366210901</v>
      </c>
      <c r="F61" s="1">
        <v>167.44999694824199</v>
      </c>
      <c r="G61" s="1">
        <v>167.44999694824199</v>
      </c>
      <c r="H61" s="1">
        <v>65136000</v>
      </c>
      <c r="I61">
        <f t="shared" ca="1" si="0"/>
        <v>299.74999999999955</v>
      </c>
      <c r="J61">
        <f t="shared" si="1"/>
        <v>-0.99134290377031165</v>
      </c>
      <c r="K61" t="str">
        <f t="shared" si="3"/>
        <v>Strong Down</v>
      </c>
      <c r="L61">
        <f t="shared" si="2"/>
        <v>1.0805043762167417</v>
      </c>
    </row>
    <row r="62" spans="1:12" x14ac:dyDescent="0.25">
      <c r="A62" s="1" t="s">
        <v>8</v>
      </c>
      <c r="B62" s="2">
        <v>45050</v>
      </c>
      <c r="C62" s="1">
        <v>164.88999938964801</v>
      </c>
      <c r="D62" s="1">
        <v>167.03999328613199</v>
      </c>
      <c r="E62" s="1">
        <v>164.30999755859301</v>
      </c>
      <c r="F62" s="1">
        <v>165.78999328613199</v>
      </c>
      <c r="G62" s="1">
        <v>165.78999328613199</v>
      </c>
      <c r="H62" s="1">
        <v>81235400</v>
      </c>
      <c r="I62">
        <f t="shared" ca="1" si="0"/>
        <v>304.03428431919599</v>
      </c>
      <c r="J62">
        <f t="shared" si="1"/>
        <v>4.6926921727167992</v>
      </c>
      <c r="K62" t="str">
        <f t="shared" si="3"/>
        <v>Strong Up</v>
      </c>
      <c r="L62">
        <f t="shared" si="2"/>
        <v>1.3475682449600452</v>
      </c>
    </row>
    <row r="63" spans="1:12" x14ac:dyDescent="0.25">
      <c r="A63" s="1" t="s">
        <v>8</v>
      </c>
      <c r="B63" s="2">
        <v>45051</v>
      </c>
      <c r="C63" s="1">
        <v>170.97999572753901</v>
      </c>
      <c r="D63" s="1">
        <v>174.30000305175699</v>
      </c>
      <c r="E63" s="1">
        <v>170.759994506835</v>
      </c>
      <c r="F63" s="1">
        <v>173.57000732421801</v>
      </c>
      <c r="G63" s="1">
        <v>173.57000732421801</v>
      </c>
      <c r="H63" s="1">
        <v>113316400</v>
      </c>
      <c r="I63">
        <f t="shared" ca="1" si="0"/>
        <v>306.21714128766695</v>
      </c>
      <c r="J63">
        <f t="shared" si="1"/>
        <v>54.15105506034088</v>
      </c>
      <c r="K63" t="str">
        <f t="shared" si="3"/>
        <v>Strong Up</v>
      </c>
      <c r="L63">
        <f t="shared" si="2"/>
        <v>1.8797418646697186</v>
      </c>
    </row>
    <row r="64" spans="1:12" x14ac:dyDescent="0.25">
      <c r="A64" s="1" t="s">
        <v>9</v>
      </c>
      <c r="B64" s="2">
        <v>44964</v>
      </c>
      <c r="C64" s="1">
        <v>260.52999877929602</v>
      </c>
      <c r="D64" s="1">
        <v>268.76998901367102</v>
      </c>
      <c r="E64" s="1">
        <v>260.079986572265</v>
      </c>
      <c r="F64" s="1">
        <v>267.55999755859301</v>
      </c>
      <c r="G64" s="1">
        <v>266.891510009765</v>
      </c>
      <c r="H64" s="1">
        <v>50841400</v>
      </c>
      <c r="I64">
        <f ca="1">AVERAGE(OFFSET(F64,60,0,-7))</f>
        <v>304.03428431919599</v>
      </c>
      <c r="J64">
        <f t="shared" si="1"/>
        <v>-0.31020577808281702</v>
      </c>
      <c r="K64" t="str">
        <f t="shared" si="3"/>
        <v>Weak Move</v>
      </c>
      <c r="L64">
        <f>H64 / AVERAGE($H$64:$H$125)</f>
        <v>1.6481074249846244</v>
      </c>
    </row>
    <row r="65" spans="1:12" x14ac:dyDescent="0.25">
      <c r="A65" s="1" t="s">
        <v>9</v>
      </c>
      <c r="B65" s="2">
        <v>44965</v>
      </c>
      <c r="C65" s="1">
        <v>273.20001220703102</v>
      </c>
      <c r="D65" s="1">
        <v>276.760009765625</v>
      </c>
      <c r="E65" s="1">
        <v>266.20999145507801</v>
      </c>
      <c r="F65" s="1">
        <v>266.73001098632801</v>
      </c>
      <c r="G65" s="1">
        <v>266.06359863281199</v>
      </c>
      <c r="H65" s="1">
        <v>54686000</v>
      </c>
      <c r="I65">
        <f t="shared" ref="I65:I125" ca="1" si="4">AVERAGE(OFFSET(F65,60,0,-7))</f>
        <v>306.21714128766695</v>
      </c>
      <c r="J65">
        <f t="shared" si="1"/>
        <v>-1.1659789828825957</v>
      </c>
      <c r="K65" t="str">
        <f t="shared" si="3"/>
        <v>Strong Down</v>
      </c>
      <c r="L65">
        <f t="shared" ref="L65:L125" si="5">H65 / AVERAGE($H$64:$H$125)</f>
        <v>1.7727364439749724</v>
      </c>
    </row>
    <row r="66" spans="1:12" x14ac:dyDescent="0.25">
      <c r="A66" s="1" t="s">
        <v>9</v>
      </c>
      <c r="B66" s="2">
        <v>44966</v>
      </c>
      <c r="C66" s="1">
        <v>273.79998779296801</v>
      </c>
      <c r="D66" s="1">
        <v>273.98001098632801</v>
      </c>
      <c r="E66" s="1">
        <v>262.79998779296801</v>
      </c>
      <c r="F66" s="1">
        <v>263.61999511718699</v>
      </c>
      <c r="G66" s="1">
        <v>262.96136474609301</v>
      </c>
      <c r="H66" s="1">
        <v>42375100</v>
      </c>
      <c r="I66">
        <f t="shared" ca="1" si="4"/>
        <v>314.52000209263355</v>
      </c>
      <c r="J66">
        <f t="shared" si="1"/>
        <v>-0.19724945880559555</v>
      </c>
      <c r="K66" t="str">
        <f t="shared" si="3"/>
        <v>Weak Move</v>
      </c>
      <c r="L66">
        <f t="shared" si="5"/>
        <v>1.373658415080347</v>
      </c>
    </row>
    <row r="67" spans="1:12" x14ac:dyDescent="0.25">
      <c r="A67" s="1" t="s">
        <v>9</v>
      </c>
      <c r="B67" s="2">
        <v>44967</v>
      </c>
      <c r="C67" s="1">
        <v>261.52999877929602</v>
      </c>
      <c r="D67" s="1">
        <v>264.08999633789</v>
      </c>
      <c r="E67" s="1">
        <v>260.66000366210898</v>
      </c>
      <c r="F67" s="1">
        <v>263.100006103515</v>
      </c>
      <c r="G67" s="1">
        <v>262.44265747070301</v>
      </c>
      <c r="H67" s="1">
        <v>25818500</v>
      </c>
      <c r="I67">
        <f t="shared" ca="1" si="4"/>
        <v>323.02999877929642</v>
      </c>
      <c r="J67">
        <f t="shared" ref="J67:J130" si="6">IF(ROW()=2, "", (F68-F67)/F67*100)</f>
        <v>3.1242877347060589</v>
      </c>
      <c r="K67" t="str">
        <f t="shared" si="3"/>
        <v>Weak Move</v>
      </c>
      <c r="L67">
        <f t="shared" si="5"/>
        <v>0.83694905238576278</v>
      </c>
    </row>
    <row r="68" spans="1:12" x14ac:dyDescent="0.25">
      <c r="A68" s="1" t="s">
        <v>9</v>
      </c>
      <c r="B68" s="2">
        <v>44970</v>
      </c>
      <c r="C68" s="1">
        <v>267.64001464843699</v>
      </c>
      <c r="D68" s="1">
        <v>274.600006103515</v>
      </c>
      <c r="E68" s="1">
        <v>267.14999389648398</v>
      </c>
      <c r="F68" s="1">
        <v>271.32000732421801</v>
      </c>
      <c r="G68" s="1">
        <v>270.64212036132801</v>
      </c>
      <c r="H68" s="1">
        <v>44630900</v>
      </c>
      <c r="I68">
        <f t="shared" ca="1" si="4"/>
        <v>331.1642848423545</v>
      </c>
      <c r="J68">
        <f t="shared" si="6"/>
        <v>0.31328544912658735</v>
      </c>
      <c r="K68" t="str">
        <f t="shared" ref="K68:K131" si="7">IF(AND(J68&gt; 0, H68 &gt; H67), "Strong Up",
 IF(AND(J68 &lt; 0, H68 &gt; H67), "Strong Down", "Weak Move"))</f>
        <v>Strong Up</v>
      </c>
      <c r="L68">
        <f t="shared" si="5"/>
        <v>1.4467838744359178</v>
      </c>
    </row>
    <row r="69" spans="1:12" x14ac:dyDescent="0.25">
      <c r="A69" s="1" t="s">
        <v>9</v>
      </c>
      <c r="B69" s="2">
        <v>44971</v>
      </c>
      <c r="C69" s="1">
        <v>272.67001342773398</v>
      </c>
      <c r="D69" s="1">
        <v>274.97000122070301</v>
      </c>
      <c r="E69" s="1">
        <v>269.27999877929602</v>
      </c>
      <c r="F69" s="1">
        <v>272.17001342773398</v>
      </c>
      <c r="G69" s="1">
        <v>271.49002075195301</v>
      </c>
      <c r="H69" s="1">
        <v>37047900</v>
      </c>
      <c r="I69">
        <f t="shared" ca="1" si="4"/>
        <v>337.15713936941927</v>
      </c>
      <c r="J69">
        <f t="shared" si="6"/>
        <v>-1.0471418462389479</v>
      </c>
      <c r="K69" t="str">
        <f t="shared" si="7"/>
        <v>Weak Move</v>
      </c>
      <c r="L69">
        <f t="shared" si="5"/>
        <v>1.2009684837570929</v>
      </c>
    </row>
    <row r="70" spans="1:12" x14ac:dyDescent="0.25">
      <c r="A70" s="1" t="s">
        <v>9</v>
      </c>
      <c r="B70" s="2">
        <v>44972</v>
      </c>
      <c r="C70" s="1">
        <v>268.32000732421801</v>
      </c>
      <c r="D70" s="1">
        <v>270.73001098632801</v>
      </c>
      <c r="E70" s="1">
        <v>266.17999267578102</v>
      </c>
      <c r="F70" s="1">
        <v>269.32000732421801</v>
      </c>
      <c r="G70" s="1">
        <v>269.32000732421801</v>
      </c>
      <c r="H70" s="1">
        <v>28922400</v>
      </c>
      <c r="I70">
        <f t="shared" ca="1" si="4"/>
        <v>344.89571271623839</v>
      </c>
      <c r="J70">
        <f t="shared" si="6"/>
        <v>-2.6622654213366665</v>
      </c>
      <c r="K70" t="str">
        <f t="shared" si="7"/>
        <v>Weak Move</v>
      </c>
      <c r="L70">
        <f t="shared" si="5"/>
        <v>0.93756706519441435</v>
      </c>
    </row>
    <row r="71" spans="1:12" x14ac:dyDescent="0.25">
      <c r="A71" s="1" t="s">
        <v>9</v>
      </c>
      <c r="B71" s="2">
        <v>44973</v>
      </c>
      <c r="C71" s="1">
        <v>264.01998901367102</v>
      </c>
      <c r="D71" s="1">
        <v>266.739990234375</v>
      </c>
      <c r="E71" s="1">
        <v>261.89999389648398</v>
      </c>
      <c r="F71" s="1">
        <v>262.14999389648398</v>
      </c>
      <c r="G71" s="1">
        <v>262.14999389648398</v>
      </c>
      <c r="H71" s="1">
        <v>29603600</v>
      </c>
      <c r="I71">
        <f t="shared" ca="1" si="4"/>
        <v>352.68856811523398</v>
      </c>
      <c r="J71">
        <f t="shared" si="6"/>
        <v>-1.560174111431029</v>
      </c>
      <c r="K71" t="str">
        <f t="shared" si="7"/>
        <v>Strong Down</v>
      </c>
      <c r="L71">
        <f t="shared" si="5"/>
        <v>0.95964928122110771</v>
      </c>
    </row>
    <row r="72" spans="1:12" x14ac:dyDescent="0.25">
      <c r="A72" s="1" t="s">
        <v>9</v>
      </c>
      <c r="B72" s="2">
        <v>44974</v>
      </c>
      <c r="C72" s="1">
        <v>259.39001464843699</v>
      </c>
      <c r="D72" s="1">
        <v>260.08999633789</v>
      </c>
      <c r="E72" s="1">
        <v>256</v>
      </c>
      <c r="F72" s="1">
        <v>258.05999755859301</v>
      </c>
      <c r="G72" s="1">
        <v>258.05999755859301</v>
      </c>
      <c r="H72" s="1">
        <v>30000100</v>
      </c>
      <c r="I72">
        <f t="shared" ca="1" si="4"/>
        <v>359.9414280482697</v>
      </c>
      <c r="J72">
        <f t="shared" si="6"/>
        <v>-2.0886613348216438</v>
      </c>
      <c r="K72" t="str">
        <f t="shared" si="7"/>
        <v>Strong Down</v>
      </c>
      <c r="L72">
        <f t="shared" si="5"/>
        <v>0.97250247948091961</v>
      </c>
    </row>
    <row r="73" spans="1:12" x14ac:dyDescent="0.25">
      <c r="A73" s="1" t="s">
        <v>9</v>
      </c>
      <c r="B73" s="2">
        <v>44978</v>
      </c>
      <c r="C73" s="1">
        <v>254.47999572753901</v>
      </c>
      <c r="D73" s="1">
        <v>255.49000549316401</v>
      </c>
      <c r="E73" s="1">
        <v>251.58999633789</v>
      </c>
      <c r="F73" s="1">
        <v>252.669998168945</v>
      </c>
      <c r="G73" s="1">
        <v>252.669998168945</v>
      </c>
      <c r="H73" s="1">
        <v>28397400</v>
      </c>
      <c r="I73">
        <f t="shared" ca="1" si="4"/>
        <v>358.1928536551336</v>
      </c>
      <c r="J73">
        <f t="shared" si="6"/>
        <v>-0.45909829837984034</v>
      </c>
      <c r="K73" t="str">
        <f t="shared" si="7"/>
        <v>Weak Move</v>
      </c>
      <c r="L73">
        <f t="shared" si="5"/>
        <v>0.92054832853262047</v>
      </c>
    </row>
    <row r="74" spans="1:12" x14ac:dyDescent="0.25">
      <c r="A74" s="1" t="s">
        <v>9</v>
      </c>
      <c r="B74" s="2">
        <v>44979</v>
      </c>
      <c r="C74" s="1">
        <v>254.08999633789</v>
      </c>
      <c r="D74" s="1">
        <v>254.33999633789</v>
      </c>
      <c r="E74" s="1">
        <v>250.33999633789</v>
      </c>
      <c r="F74" s="1">
        <v>251.509994506835</v>
      </c>
      <c r="G74" s="1">
        <v>251.509994506835</v>
      </c>
      <c r="H74" s="1">
        <v>22491100</v>
      </c>
      <c r="I74">
        <f t="shared" ca="1" si="4"/>
        <v>355.49714006696405</v>
      </c>
      <c r="J74">
        <f t="shared" si="6"/>
        <v>1.2961750375038898</v>
      </c>
      <c r="K74" t="str">
        <f t="shared" si="7"/>
        <v>Weak Move</v>
      </c>
      <c r="L74">
        <f t="shared" si="5"/>
        <v>0.72908592025537622</v>
      </c>
    </row>
    <row r="75" spans="1:12" x14ac:dyDescent="0.25">
      <c r="A75" s="1" t="s">
        <v>9</v>
      </c>
      <c r="B75" s="2">
        <v>44980</v>
      </c>
      <c r="C75" s="1">
        <v>255.55999755859301</v>
      </c>
      <c r="D75" s="1">
        <v>256.83999633789</v>
      </c>
      <c r="E75" s="1">
        <v>250.47999572753901</v>
      </c>
      <c r="F75" s="1">
        <v>254.77000427246</v>
      </c>
      <c r="G75" s="1">
        <v>254.77000427246</v>
      </c>
      <c r="H75" s="1">
        <v>29219100</v>
      </c>
      <c r="I75">
        <f t="shared" ca="1" si="4"/>
        <v>351.92571149553544</v>
      </c>
      <c r="J75">
        <f t="shared" si="6"/>
        <v>-2.1784366128995392</v>
      </c>
      <c r="K75" t="str">
        <f t="shared" si="7"/>
        <v>Strong Down</v>
      </c>
      <c r="L75">
        <f t="shared" si="5"/>
        <v>0.94718508265642243</v>
      </c>
    </row>
    <row r="76" spans="1:12" x14ac:dyDescent="0.25">
      <c r="A76" s="1" t="s">
        <v>9</v>
      </c>
      <c r="B76" s="2">
        <v>44981</v>
      </c>
      <c r="C76" s="1">
        <v>249.96000671386699</v>
      </c>
      <c r="D76" s="1">
        <v>251</v>
      </c>
      <c r="E76" s="1">
        <v>248.100006103515</v>
      </c>
      <c r="F76" s="1">
        <v>249.22000122070301</v>
      </c>
      <c r="G76" s="1">
        <v>249.22000122070301</v>
      </c>
      <c r="H76" s="1">
        <v>24990900</v>
      </c>
      <c r="I76">
        <f t="shared" ca="1" si="4"/>
        <v>350.14285714285688</v>
      </c>
      <c r="J76">
        <f t="shared" si="6"/>
        <v>0.37717776936111619</v>
      </c>
      <c r="K76" t="str">
        <f t="shared" si="7"/>
        <v>Weak Move</v>
      </c>
      <c r="L76">
        <f t="shared" si="5"/>
        <v>0.81012104007852359</v>
      </c>
    </row>
    <row r="77" spans="1:12" x14ac:dyDescent="0.25">
      <c r="A77" s="1" t="s">
        <v>9</v>
      </c>
      <c r="B77" s="2">
        <v>44984</v>
      </c>
      <c r="C77" s="1">
        <v>252.46000671386699</v>
      </c>
      <c r="D77" s="1">
        <v>252.82000732421801</v>
      </c>
      <c r="E77" s="1">
        <v>249.38999938964801</v>
      </c>
      <c r="F77" s="1">
        <v>250.16000366210901</v>
      </c>
      <c r="G77" s="1">
        <v>250.16000366210901</v>
      </c>
      <c r="H77" s="1">
        <v>21190000</v>
      </c>
      <c r="I77">
        <f t="shared" ca="1" si="4"/>
        <v>345.15428379603776</v>
      </c>
      <c r="J77">
        <f t="shared" si="6"/>
        <v>-0.29581287269388223</v>
      </c>
      <c r="K77" t="str">
        <f t="shared" si="7"/>
        <v>Weak Move</v>
      </c>
      <c r="L77">
        <f t="shared" si="5"/>
        <v>0.68690862831126187</v>
      </c>
    </row>
    <row r="78" spans="1:12" x14ac:dyDescent="0.25">
      <c r="A78" s="1" t="s">
        <v>9</v>
      </c>
      <c r="B78" s="2">
        <v>44985</v>
      </c>
      <c r="C78" s="1">
        <v>249.07000732421801</v>
      </c>
      <c r="D78" s="1">
        <v>251.49000549316401</v>
      </c>
      <c r="E78" s="1">
        <v>248.72999572753901</v>
      </c>
      <c r="F78" s="1">
        <v>249.419998168945</v>
      </c>
      <c r="G78" s="1">
        <v>249.419998168945</v>
      </c>
      <c r="H78" s="1">
        <v>22491000</v>
      </c>
      <c r="I78">
        <f t="shared" ca="1" si="4"/>
        <v>339.03856985909573</v>
      </c>
      <c r="J78">
        <f t="shared" si="6"/>
        <v>-1.262927559782655</v>
      </c>
      <c r="K78" t="str">
        <f t="shared" si="7"/>
        <v>Strong Down</v>
      </c>
      <c r="L78">
        <f t="shared" si="5"/>
        <v>0.72908267859125009</v>
      </c>
    </row>
    <row r="79" spans="1:12" x14ac:dyDescent="0.25">
      <c r="A79" s="1" t="s">
        <v>9</v>
      </c>
      <c r="B79" s="2">
        <v>44986</v>
      </c>
      <c r="C79" s="1">
        <v>250.759994506835</v>
      </c>
      <c r="D79" s="1">
        <v>250.92999267578099</v>
      </c>
      <c r="E79" s="1">
        <v>245.78999328613199</v>
      </c>
      <c r="F79" s="1">
        <v>246.27000427246</v>
      </c>
      <c r="G79" s="1">
        <v>246.27000427246</v>
      </c>
      <c r="H79" s="1">
        <v>27565300</v>
      </c>
      <c r="I79">
        <f t="shared" ca="1" si="4"/>
        <v>333.55428205217601</v>
      </c>
      <c r="J79">
        <f t="shared" si="6"/>
        <v>1.9653210922659832</v>
      </c>
      <c r="K79" t="str">
        <f t="shared" si="7"/>
        <v>Strong Up</v>
      </c>
      <c r="L79">
        <f t="shared" si="5"/>
        <v>0.89357444133970865</v>
      </c>
    </row>
    <row r="80" spans="1:12" x14ac:dyDescent="0.25">
      <c r="A80" s="1" t="s">
        <v>9</v>
      </c>
      <c r="B80" s="2">
        <v>44987</v>
      </c>
      <c r="C80" s="1">
        <v>246.55000305175699</v>
      </c>
      <c r="D80" s="1">
        <v>251.39999389648401</v>
      </c>
      <c r="E80" s="1">
        <v>245.61000061035099</v>
      </c>
      <c r="F80" s="1">
        <v>251.11000061035099</v>
      </c>
      <c r="G80" s="1">
        <v>251.11000061035099</v>
      </c>
      <c r="H80" s="1">
        <v>24808200</v>
      </c>
      <c r="I80">
        <f t="shared" ca="1" si="4"/>
        <v>329.47142682756652</v>
      </c>
      <c r="J80">
        <f t="shared" si="6"/>
        <v>1.6646062146553515</v>
      </c>
      <c r="K80" t="str">
        <f t="shared" si="7"/>
        <v>Weak Move</v>
      </c>
      <c r="L80">
        <f t="shared" si="5"/>
        <v>0.80419851972021927</v>
      </c>
    </row>
    <row r="81" spans="1:12" x14ac:dyDescent="0.25">
      <c r="A81" s="1" t="s">
        <v>9</v>
      </c>
      <c r="B81" s="2">
        <v>44988</v>
      </c>
      <c r="C81" s="1">
        <v>252.19000244140599</v>
      </c>
      <c r="D81" s="1">
        <v>255.61999511718699</v>
      </c>
      <c r="E81" s="1">
        <v>251.38999938964801</v>
      </c>
      <c r="F81" s="1">
        <v>255.28999328613199</v>
      </c>
      <c r="G81" s="1">
        <v>255.28999328613199</v>
      </c>
      <c r="H81" s="1">
        <v>30760100</v>
      </c>
      <c r="I81">
        <f t="shared" ca="1" si="4"/>
        <v>324.54571533203085</v>
      </c>
      <c r="J81">
        <f t="shared" si="6"/>
        <v>0.61890472506069427</v>
      </c>
      <c r="K81" t="str">
        <f t="shared" si="7"/>
        <v>Strong Up</v>
      </c>
      <c r="L81">
        <f t="shared" si="5"/>
        <v>0.99713912683894501</v>
      </c>
    </row>
    <row r="82" spans="1:12" x14ac:dyDescent="0.25">
      <c r="A82" s="1" t="s">
        <v>9</v>
      </c>
      <c r="B82" s="2">
        <v>44991</v>
      </c>
      <c r="C82" s="1">
        <v>256.42999267578102</v>
      </c>
      <c r="D82" s="1">
        <v>260.11999511718699</v>
      </c>
      <c r="E82" s="1">
        <v>255.97999572753901</v>
      </c>
      <c r="F82" s="1">
        <v>256.86999511718699</v>
      </c>
      <c r="G82" s="1">
        <v>256.86999511718699</v>
      </c>
      <c r="H82" s="1">
        <v>24109800</v>
      </c>
      <c r="I82">
        <f t="shared" ca="1" si="4"/>
        <v>320.88571602957546</v>
      </c>
      <c r="J82">
        <f t="shared" si="6"/>
        <v>-1.0589018851587113</v>
      </c>
      <c r="K82" t="str">
        <f t="shared" si="7"/>
        <v>Weak Move</v>
      </c>
      <c r="L82">
        <f t="shared" si="5"/>
        <v>0.7815587374638443</v>
      </c>
    </row>
    <row r="83" spans="1:12" x14ac:dyDescent="0.25">
      <c r="A83" s="1" t="s">
        <v>9</v>
      </c>
      <c r="B83" s="2">
        <v>44992</v>
      </c>
      <c r="C83" s="1">
        <v>256.29998779296801</v>
      </c>
      <c r="D83" s="1">
        <v>257.69000244140602</v>
      </c>
      <c r="E83" s="1">
        <v>253.38999938964801</v>
      </c>
      <c r="F83" s="1">
        <v>254.14999389648401</v>
      </c>
      <c r="G83" s="1">
        <v>254.14999389648401</v>
      </c>
      <c r="H83" s="1">
        <v>21473200</v>
      </c>
      <c r="I83">
        <f t="shared" ca="1" si="4"/>
        <v>318.07142857142816</v>
      </c>
      <c r="J83">
        <f t="shared" si="6"/>
        <v>-0.1770595943532865</v>
      </c>
      <c r="K83" t="str">
        <f t="shared" si="7"/>
        <v>Weak Move</v>
      </c>
      <c r="L83">
        <f t="shared" si="5"/>
        <v>0.69608902111625237</v>
      </c>
    </row>
    <row r="84" spans="1:12" x14ac:dyDescent="0.25">
      <c r="A84" s="1" t="s">
        <v>9</v>
      </c>
      <c r="B84" s="2">
        <v>44993</v>
      </c>
      <c r="C84" s="1">
        <v>254.03999328613199</v>
      </c>
      <c r="D84" s="1">
        <v>254.53999328613199</v>
      </c>
      <c r="E84" s="1">
        <v>250.80999755859301</v>
      </c>
      <c r="F84" s="1">
        <v>253.69999694824199</v>
      </c>
      <c r="G84" s="1">
        <v>253.69999694824199</v>
      </c>
      <c r="H84" s="1">
        <v>17340200</v>
      </c>
      <c r="I84">
        <f t="shared" ca="1" si="4"/>
        <v>316.41142926897277</v>
      </c>
      <c r="J84">
        <f t="shared" si="6"/>
        <v>-0.54394546339135863</v>
      </c>
      <c r="K84" t="str">
        <f t="shared" si="7"/>
        <v>Weak Move</v>
      </c>
      <c r="L84">
        <f t="shared" si="5"/>
        <v>0.56211104278635882</v>
      </c>
    </row>
    <row r="85" spans="1:12" x14ac:dyDescent="0.25">
      <c r="A85" s="1" t="s">
        <v>9</v>
      </c>
      <c r="B85" s="2">
        <v>44994</v>
      </c>
      <c r="C85" s="1">
        <v>255.82000732421801</v>
      </c>
      <c r="D85" s="1">
        <v>259.55999755859301</v>
      </c>
      <c r="E85" s="1">
        <v>251.58000183105401</v>
      </c>
      <c r="F85" s="1">
        <v>252.32000732421801</v>
      </c>
      <c r="G85" s="1">
        <v>252.32000732421801</v>
      </c>
      <c r="H85" s="1">
        <v>26653400</v>
      </c>
      <c r="I85">
        <f t="shared" ca="1" si="4"/>
        <v>315.17143031528974</v>
      </c>
      <c r="J85">
        <f t="shared" si="6"/>
        <v>-1.4782858584555851</v>
      </c>
      <c r="K85" t="str">
        <f t="shared" si="7"/>
        <v>Strong Down</v>
      </c>
      <c r="L85">
        <f t="shared" si="5"/>
        <v>0.86401370617420414</v>
      </c>
    </row>
    <row r="86" spans="1:12" x14ac:dyDescent="0.25">
      <c r="A86" s="1" t="s">
        <v>9</v>
      </c>
      <c r="B86" s="2">
        <v>44995</v>
      </c>
      <c r="C86" s="1">
        <v>251.08000183105401</v>
      </c>
      <c r="D86" s="1">
        <v>252.78999328613199</v>
      </c>
      <c r="E86" s="1">
        <v>247.600006103515</v>
      </c>
      <c r="F86" s="1">
        <v>248.58999633789</v>
      </c>
      <c r="G86" s="1">
        <v>248.58999633789</v>
      </c>
      <c r="H86" s="1">
        <v>28333900</v>
      </c>
      <c r="I86">
        <f t="shared" ca="1" si="4"/>
        <v>313.56571742466474</v>
      </c>
      <c r="J86">
        <f t="shared" si="6"/>
        <v>2.144093450892659</v>
      </c>
      <c r="K86" t="str">
        <f t="shared" si="7"/>
        <v>Strong Up</v>
      </c>
      <c r="L86">
        <f t="shared" si="5"/>
        <v>0.91848987181257491</v>
      </c>
    </row>
    <row r="87" spans="1:12" x14ac:dyDescent="0.25">
      <c r="A87" s="1" t="s">
        <v>9</v>
      </c>
      <c r="B87" s="2">
        <v>44998</v>
      </c>
      <c r="C87" s="1">
        <v>247.39999389648401</v>
      </c>
      <c r="D87" s="1">
        <v>257.91000366210898</v>
      </c>
      <c r="E87" s="1">
        <v>245.72999572753901</v>
      </c>
      <c r="F87" s="1">
        <v>253.919998168945</v>
      </c>
      <c r="G87" s="1">
        <v>253.919998168945</v>
      </c>
      <c r="H87" s="1">
        <v>33339700</v>
      </c>
      <c r="I87">
        <f t="shared" ca="1" si="4"/>
        <v>310.08714512416242</v>
      </c>
      <c r="J87">
        <f t="shared" si="6"/>
        <v>2.7055806653736187</v>
      </c>
      <c r="K87" t="str">
        <f t="shared" si="7"/>
        <v>Strong Up</v>
      </c>
      <c r="L87">
        <f t="shared" si="5"/>
        <v>1.0807610946346851</v>
      </c>
    </row>
    <row r="88" spans="1:12" x14ac:dyDescent="0.25">
      <c r="A88" s="1" t="s">
        <v>9</v>
      </c>
      <c r="B88" s="2">
        <v>44999</v>
      </c>
      <c r="C88" s="1">
        <v>256.75</v>
      </c>
      <c r="D88" s="1">
        <v>261.07000732421801</v>
      </c>
      <c r="E88" s="1">
        <v>255.86000061035099</v>
      </c>
      <c r="F88" s="1">
        <v>260.79000854492102</v>
      </c>
      <c r="G88" s="1">
        <v>260.79000854492102</v>
      </c>
      <c r="H88" s="1">
        <v>33620300</v>
      </c>
      <c r="I88">
        <f t="shared" ca="1" si="4"/>
        <v>307.12714494977627</v>
      </c>
      <c r="J88">
        <f t="shared" si="6"/>
        <v>1.783041429550795</v>
      </c>
      <c r="K88" t="str">
        <f t="shared" si="7"/>
        <v>Strong Up</v>
      </c>
      <c r="L88">
        <f t="shared" si="5"/>
        <v>1.0898572041723982</v>
      </c>
    </row>
    <row r="89" spans="1:12" x14ac:dyDescent="0.25">
      <c r="A89" s="1" t="s">
        <v>9</v>
      </c>
      <c r="B89" s="2">
        <v>45000</v>
      </c>
      <c r="C89" s="1">
        <v>259.98001098632801</v>
      </c>
      <c r="D89" s="1">
        <v>266.48001098632801</v>
      </c>
      <c r="E89" s="1">
        <v>259.20999145507801</v>
      </c>
      <c r="F89" s="1">
        <v>265.44000244140602</v>
      </c>
      <c r="G89" s="1">
        <v>265.44000244140602</v>
      </c>
      <c r="H89" s="1">
        <v>46028000</v>
      </c>
      <c r="I89">
        <f t="shared" ca="1" si="4"/>
        <v>304.50285993303532</v>
      </c>
      <c r="J89">
        <f t="shared" si="6"/>
        <v>4.053650416914909</v>
      </c>
      <c r="K89" t="str">
        <f t="shared" si="7"/>
        <v>Strong Up</v>
      </c>
      <c r="L89">
        <f t="shared" si="5"/>
        <v>1.4920731639410458</v>
      </c>
    </row>
    <row r="90" spans="1:12" x14ac:dyDescent="0.25">
      <c r="A90" s="1" t="s">
        <v>9</v>
      </c>
      <c r="B90" s="2">
        <v>45001</v>
      </c>
      <c r="C90" s="1">
        <v>265.20999145507801</v>
      </c>
      <c r="D90" s="1">
        <v>276.55999755859301</v>
      </c>
      <c r="E90" s="1">
        <v>263.27999877929602</v>
      </c>
      <c r="F90" s="1">
        <v>276.20001220703102</v>
      </c>
      <c r="G90" s="1">
        <v>276.20001220703102</v>
      </c>
      <c r="H90" s="1">
        <v>54768800</v>
      </c>
      <c r="I90">
        <f t="shared" ca="1" si="4"/>
        <v>301.61143275669605</v>
      </c>
      <c r="J90">
        <f t="shared" si="6"/>
        <v>1.1694353099191415</v>
      </c>
      <c r="K90" t="str">
        <f t="shared" si="7"/>
        <v>Strong Up</v>
      </c>
      <c r="L90">
        <f t="shared" si="5"/>
        <v>1.7754205418713467</v>
      </c>
    </row>
    <row r="91" spans="1:12" x14ac:dyDescent="0.25">
      <c r="A91" s="1" t="s">
        <v>9</v>
      </c>
      <c r="B91" s="2">
        <v>45002</v>
      </c>
      <c r="C91" s="1">
        <v>278.260009765625</v>
      </c>
      <c r="D91" s="1">
        <v>283.329986572265</v>
      </c>
      <c r="E91" s="1">
        <v>276.32000732421801</v>
      </c>
      <c r="F91" s="1">
        <v>279.42999267578102</v>
      </c>
      <c r="G91" s="1">
        <v>279.42999267578102</v>
      </c>
      <c r="H91" s="1">
        <v>69527400</v>
      </c>
      <c r="I91">
        <f t="shared" ca="1" si="4"/>
        <v>300.43429129464249</v>
      </c>
      <c r="J91">
        <f t="shared" si="6"/>
        <v>-2.5766674581017708</v>
      </c>
      <c r="K91" t="str">
        <f t="shared" si="7"/>
        <v>Strong Down</v>
      </c>
      <c r="L91">
        <f t="shared" si="5"/>
        <v>2.2538447835794444</v>
      </c>
    </row>
    <row r="92" spans="1:12" x14ac:dyDescent="0.25">
      <c r="A92" s="1" t="s">
        <v>9</v>
      </c>
      <c r="B92" s="2">
        <v>45005</v>
      </c>
      <c r="C92" s="1">
        <v>276.98001098632801</v>
      </c>
      <c r="D92" s="1">
        <v>277.48001098632801</v>
      </c>
      <c r="E92" s="1">
        <v>269.850006103515</v>
      </c>
      <c r="F92" s="1">
        <v>272.23001098632801</v>
      </c>
      <c r="G92" s="1">
        <v>272.23001098632801</v>
      </c>
      <c r="H92" s="1">
        <v>43466600</v>
      </c>
      <c r="I92">
        <f t="shared" ca="1" si="4"/>
        <v>300.6614336286267</v>
      </c>
      <c r="J92">
        <f t="shared" si="6"/>
        <v>0.56936698027972199</v>
      </c>
      <c r="K92" t="str">
        <f t="shared" si="7"/>
        <v>Weak Move</v>
      </c>
      <c r="L92">
        <f t="shared" si="5"/>
        <v>1.409041179016248</v>
      </c>
    </row>
    <row r="93" spans="1:12" x14ac:dyDescent="0.25">
      <c r="A93" s="1" t="s">
        <v>9</v>
      </c>
      <c r="B93" s="2">
        <v>45006</v>
      </c>
      <c r="C93" s="1">
        <v>274.88000488281199</v>
      </c>
      <c r="D93" s="1">
        <v>275</v>
      </c>
      <c r="E93" s="1">
        <v>269.51998901367102</v>
      </c>
      <c r="F93" s="1">
        <v>273.77999877929602</v>
      </c>
      <c r="G93" s="1">
        <v>273.77999877929602</v>
      </c>
      <c r="H93" s="1">
        <v>34558700</v>
      </c>
      <c r="I93">
        <f t="shared" ca="1" si="4"/>
        <v>299.47714669363802</v>
      </c>
      <c r="J93">
        <f t="shared" si="6"/>
        <v>-0.54422903098050457</v>
      </c>
      <c r="K93" t="str">
        <f t="shared" si="7"/>
        <v>Weak Move</v>
      </c>
      <c r="L93">
        <f t="shared" si="5"/>
        <v>1.1202769803313075</v>
      </c>
    </row>
    <row r="94" spans="1:12" x14ac:dyDescent="0.25">
      <c r="A94" s="1" t="s">
        <v>9</v>
      </c>
      <c r="B94" s="2">
        <v>45007</v>
      </c>
      <c r="C94" s="1">
        <v>273.39999389648398</v>
      </c>
      <c r="D94" s="1">
        <v>281.04000854492102</v>
      </c>
      <c r="E94" s="1">
        <v>272.17999267578102</v>
      </c>
      <c r="F94" s="1">
        <v>272.29000854492102</v>
      </c>
      <c r="G94" s="1">
        <v>272.29000854492102</v>
      </c>
      <c r="H94" s="1">
        <v>34873300</v>
      </c>
      <c r="I94">
        <f t="shared" ca="1" si="4"/>
        <v>300.5271475655689</v>
      </c>
      <c r="J94">
        <f t="shared" si="6"/>
        <v>1.9721601779971447</v>
      </c>
      <c r="K94" t="str">
        <f t="shared" si="7"/>
        <v>Strong Up</v>
      </c>
      <c r="L94">
        <f t="shared" si="5"/>
        <v>1.1304752556718796</v>
      </c>
    </row>
    <row r="95" spans="1:12" x14ac:dyDescent="0.25">
      <c r="A95" s="1" t="s">
        <v>9</v>
      </c>
      <c r="B95" s="2">
        <v>45008</v>
      </c>
      <c r="C95" s="1">
        <v>277.94000244140602</v>
      </c>
      <c r="D95" s="1">
        <v>281.05999755859301</v>
      </c>
      <c r="E95" s="1">
        <v>275.20001220703102</v>
      </c>
      <c r="F95" s="1">
        <v>277.66000366210898</v>
      </c>
      <c r="G95" s="1">
        <v>277.66000366210898</v>
      </c>
      <c r="H95" s="1">
        <v>36610900</v>
      </c>
      <c r="I95">
        <f t="shared" ca="1" si="4"/>
        <v>302.38857596261113</v>
      </c>
      <c r="J95">
        <f t="shared" si="6"/>
        <v>1.0480456759088308</v>
      </c>
      <c r="K95" t="str">
        <f t="shared" si="7"/>
        <v>Strong Up</v>
      </c>
      <c r="L95">
        <f t="shared" si="5"/>
        <v>1.1868024115262283</v>
      </c>
    </row>
    <row r="96" spans="1:12" x14ac:dyDescent="0.25">
      <c r="A96" s="1" t="s">
        <v>9</v>
      </c>
      <c r="B96" s="2">
        <v>45009</v>
      </c>
      <c r="C96" s="1">
        <v>277.239990234375</v>
      </c>
      <c r="D96" s="1">
        <v>280.63000488281199</v>
      </c>
      <c r="E96" s="1">
        <v>275.27999877929602</v>
      </c>
      <c r="F96" s="1">
        <v>280.57000732421801</v>
      </c>
      <c r="G96" s="1">
        <v>280.57000732421801</v>
      </c>
      <c r="H96" s="1">
        <v>28172000</v>
      </c>
      <c r="I96">
        <f t="shared" ca="1" si="4"/>
        <v>302.44428798130531</v>
      </c>
      <c r="J96">
        <f t="shared" si="6"/>
        <v>-1.493389290382769</v>
      </c>
      <c r="K96" t="str">
        <f t="shared" si="7"/>
        <v>Weak Move</v>
      </c>
      <c r="L96">
        <f t="shared" si="5"/>
        <v>0.91324161759249023</v>
      </c>
    </row>
    <row r="97" spans="1:12" x14ac:dyDescent="0.25">
      <c r="A97" s="1" t="s">
        <v>9</v>
      </c>
      <c r="B97" s="2">
        <v>45012</v>
      </c>
      <c r="C97" s="1">
        <v>280.5</v>
      </c>
      <c r="D97" s="1">
        <v>281.45999145507801</v>
      </c>
      <c r="E97" s="1">
        <v>275.51998901367102</v>
      </c>
      <c r="F97" s="1">
        <v>276.38000488281199</v>
      </c>
      <c r="G97" s="1">
        <v>276.38000488281199</v>
      </c>
      <c r="H97" s="1">
        <v>26840200</v>
      </c>
      <c r="I97">
        <f t="shared" ca="1" si="4"/>
        <v>306.07714407784539</v>
      </c>
      <c r="J97">
        <f t="shared" si="6"/>
        <v>-0.41609156819126136</v>
      </c>
      <c r="K97" t="str">
        <f t="shared" si="7"/>
        <v>Weak Move</v>
      </c>
      <c r="L97">
        <f t="shared" si="5"/>
        <v>0.8700691347616768</v>
      </c>
    </row>
    <row r="98" spans="1:12" x14ac:dyDescent="0.25">
      <c r="A98" s="1" t="s">
        <v>9</v>
      </c>
      <c r="B98" s="2">
        <v>45013</v>
      </c>
      <c r="C98" s="1">
        <v>275.79000854492102</v>
      </c>
      <c r="D98" s="1">
        <v>276.14001464843699</v>
      </c>
      <c r="E98" s="1">
        <v>272.04998779296801</v>
      </c>
      <c r="F98" s="1">
        <v>275.23001098632801</v>
      </c>
      <c r="G98" s="1">
        <v>275.23001098632801</v>
      </c>
      <c r="H98" s="1">
        <v>21878600</v>
      </c>
      <c r="I98">
        <f t="shared" ca="1" si="4"/>
        <v>309.59143066406199</v>
      </c>
      <c r="J98">
        <f t="shared" si="6"/>
        <v>1.9183950036463397</v>
      </c>
      <c r="K98" t="str">
        <f t="shared" si="7"/>
        <v>Weak Move</v>
      </c>
      <c r="L98">
        <f t="shared" si="5"/>
        <v>0.70923072748328331</v>
      </c>
    </row>
    <row r="99" spans="1:12" x14ac:dyDescent="0.25">
      <c r="A99" s="1" t="s">
        <v>9</v>
      </c>
      <c r="B99" s="2">
        <v>45014</v>
      </c>
      <c r="C99" s="1">
        <v>278.95999145507801</v>
      </c>
      <c r="D99" s="1">
        <v>281.14001464843699</v>
      </c>
      <c r="E99" s="1">
        <v>278.41000366210898</v>
      </c>
      <c r="F99" s="1">
        <v>280.510009765625</v>
      </c>
      <c r="G99" s="1">
        <v>280.510009765625</v>
      </c>
      <c r="H99" s="1">
        <v>25087000</v>
      </c>
      <c r="I99">
        <f t="shared" ca="1" si="4"/>
        <v>312.10571725027859</v>
      </c>
      <c r="J99">
        <f t="shared" si="6"/>
        <v>1.2619792178898626</v>
      </c>
      <c r="K99" t="str">
        <f t="shared" si="7"/>
        <v>Strong Up</v>
      </c>
      <c r="L99">
        <f t="shared" si="5"/>
        <v>0.81323627930366338</v>
      </c>
    </row>
    <row r="100" spans="1:12" x14ac:dyDescent="0.25">
      <c r="A100" s="1" t="s">
        <v>9</v>
      </c>
      <c r="B100" s="2">
        <v>45015</v>
      </c>
      <c r="C100" s="1">
        <v>284.23001098632801</v>
      </c>
      <c r="D100" s="1">
        <v>284.45999145507801</v>
      </c>
      <c r="E100" s="1">
        <v>281.48001098632801</v>
      </c>
      <c r="F100" s="1">
        <v>284.04998779296801</v>
      </c>
      <c r="G100" s="1">
        <v>284.04998779296801</v>
      </c>
      <c r="H100" s="1">
        <v>25053400</v>
      </c>
      <c r="I100">
        <f t="shared" ca="1" si="4"/>
        <v>314.96571568080299</v>
      </c>
      <c r="J100">
        <f t="shared" si="6"/>
        <v>1.4962155193252973</v>
      </c>
      <c r="K100" t="str">
        <f t="shared" si="7"/>
        <v>Weak Move</v>
      </c>
      <c r="L100">
        <f t="shared" si="5"/>
        <v>0.81214708015730852</v>
      </c>
    </row>
    <row r="101" spans="1:12" x14ac:dyDescent="0.25">
      <c r="A101" s="1" t="s">
        <v>9</v>
      </c>
      <c r="B101" s="2">
        <v>45016</v>
      </c>
      <c r="C101" s="1">
        <v>283.73001098632801</v>
      </c>
      <c r="D101" s="1">
        <v>289.26998901367102</v>
      </c>
      <c r="E101" s="1">
        <v>283</v>
      </c>
      <c r="F101" s="1">
        <v>288.29998779296801</v>
      </c>
      <c r="G101" s="1">
        <v>288.29998779296801</v>
      </c>
      <c r="H101" s="1">
        <v>32766000</v>
      </c>
      <c r="I101">
        <f t="shared" ca="1" si="4"/>
        <v>318.80857195172928</v>
      </c>
      <c r="J101">
        <f t="shared" si="6"/>
        <v>-0.37113314323424945</v>
      </c>
      <c r="K101" t="str">
        <f t="shared" si="7"/>
        <v>Strong Down</v>
      </c>
      <c r="L101">
        <f t="shared" si="5"/>
        <v>1.062163667543502</v>
      </c>
    </row>
    <row r="102" spans="1:12" x14ac:dyDescent="0.25">
      <c r="A102" s="1" t="s">
        <v>9</v>
      </c>
      <c r="B102" s="2">
        <v>45019</v>
      </c>
      <c r="C102" s="1">
        <v>286.51998901367102</v>
      </c>
      <c r="D102" s="1">
        <v>288.26998901367102</v>
      </c>
      <c r="E102" s="1">
        <v>283.95001220703102</v>
      </c>
      <c r="F102" s="1">
        <v>287.23001098632801</v>
      </c>
      <c r="G102" s="1">
        <v>287.23001098632801</v>
      </c>
      <c r="H102" s="1">
        <v>24883300</v>
      </c>
      <c r="I102">
        <f t="shared" ca="1" si="4"/>
        <v>323.47142682756646</v>
      </c>
      <c r="J102">
        <f t="shared" si="6"/>
        <v>-1.7414026610669708E-2</v>
      </c>
      <c r="K102" t="str">
        <f t="shared" si="7"/>
        <v>Weak Move</v>
      </c>
      <c r="L102">
        <f t="shared" si="5"/>
        <v>0.80663300947888728</v>
      </c>
    </row>
    <row r="103" spans="1:12" x14ac:dyDescent="0.25">
      <c r="A103" s="1" t="s">
        <v>9</v>
      </c>
      <c r="B103" s="2">
        <v>45020</v>
      </c>
      <c r="C103" s="1">
        <v>287.23001098632801</v>
      </c>
      <c r="D103" s="1">
        <v>290.45001220703102</v>
      </c>
      <c r="E103" s="1">
        <v>285.67001342773398</v>
      </c>
      <c r="F103" s="1">
        <v>287.17999267578102</v>
      </c>
      <c r="G103" s="1">
        <v>287.17999267578102</v>
      </c>
      <c r="H103" s="1">
        <v>25824300</v>
      </c>
      <c r="I103">
        <f t="shared" ca="1" si="4"/>
        <v>330.8400006975441</v>
      </c>
      <c r="J103">
        <f t="shared" si="6"/>
        <v>-0.98892555551295214</v>
      </c>
      <c r="K103" t="str">
        <f t="shared" si="7"/>
        <v>Strong Down</v>
      </c>
      <c r="L103">
        <f t="shared" si="5"/>
        <v>0.83713706890507411</v>
      </c>
    </row>
    <row r="104" spans="1:12" x14ac:dyDescent="0.25">
      <c r="A104" s="1" t="s">
        <v>9</v>
      </c>
      <c r="B104" s="2">
        <v>45021</v>
      </c>
      <c r="C104" s="1">
        <v>285.850006103515</v>
      </c>
      <c r="D104" s="1">
        <v>287.14999389648398</v>
      </c>
      <c r="E104" s="1">
        <v>282.92001342773398</v>
      </c>
      <c r="F104" s="1">
        <v>284.33999633789</v>
      </c>
      <c r="G104" s="1">
        <v>284.33999633789</v>
      </c>
      <c r="H104" s="1">
        <v>22064800</v>
      </c>
      <c r="I104">
        <f t="shared" ca="1" si="4"/>
        <v>334.82714407784539</v>
      </c>
      <c r="J104">
        <f t="shared" si="6"/>
        <v>2.5532847503443401</v>
      </c>
      <c r="K104" t="str">
        <f t="shared" si="7"/>
        <v>Weak Move</v>
      </c>
      <c r="L104">
        <f t="shared" si="5"/>
        <v>0.71526670608599952</v>
      </c>
    </row>
    <row r="105" spans="1:12" x14ac:dyDescent="0.25">
      <c r="A105" s="1" t="s">
        <v>9</v>
      </c>
      <c r="B105" s="2">
        <v>45022</v>
      </c>
      <c r="C105" s="1">
        <v>283.20999145507801</v>
      </c>
      <c r="D105" s="1">
        <v>292.079986572265</v>
      </c>
      <c r="E105" s="1">
        <v>282.02999877929602</v>
      </c>
      <c r="F105" s="1">
        <v>291.600006103515</v>
      </c>
      <c r="G105" s="1">
        <v>291.600006103515</v>
      </c>
      <c r="H105" s="1">
        <v>29770300</v>
      </c>
      <c r="I105">
        <f t="shared" ca="1" si="4"/>
        <v>337.44999912806873</v>
      </c>
      <c r="J105">
        <f t="shared" si="6"/>
        <v>-0.75788457092606754</v>
      </c>
      <c r="K105" t="str">
        <f t="shared" si="7"/>
        <v>Strong Down</v>
      </c>
      <c r="L105">
        <f t="shared" si="5"/>
        <v>0.96505313531924297</v>
      </c>
    </row>
    <row r="106" spans="1:12" x14ac:dyDescent="0.25">
      <c r="A106" s="1" t="s">
        <v>9</v>
      </c>
      <c r="B106" s="2">
        <v>45026</v>
      </c>
      <c r="C106" s="1">
        <v>289.20999145507801</v>
      </c>
      <c r="D106" s="1">
        <v>289.600006103515</v>
      </c>
      <c r="E106" s="1">
        <v>284.70999145507801</v>
      </c>
      <c r="F106" s="1">
        <v>289.39001464843699</v>
      </c>
      <c r="G106" s="1">
        <v>289.39001464843699</v>
      </c>
      <c r="H106" s="1">
        <v>23103000</v>
      </c>
      <c r="I106">
        <f t="shared" ca="1" si="4"/>
        <v>339.54857090541242</v>
      </c>
      <c r="J106">
        <f t="shared" si="6"/>
        <v>-2.2668467272934012</v>
      </c>
      <c r="K106" t="str">
        <f t="shared" si="7"/>
        <v>Weak Move</v>
      </c>
      <c r="L106">
        <f t="shared" si="5"/>
        <v>0.74892166304271268</v>
      </c>
    </row>
    <row r="107" spans="1:12" x14ac:dyDescent="0.25">
      <c r="A107" s="1" t="s">
        <v>9</v>
      </c>
      <c r="B107" s="2">
        <v>45027</v>
      </c>
      <c r="C107" s="1">
        <v>285.75</v>
      </c>
      <c r="D107" s="1">
        <v>285.98001098632801</v>
      </c>
      <c r="E107" s="1">
        <v>281.64001464843699</v>
      </c>
      <c r="F107" s="1">
        <v>282.829986572265</v>
      </c>
      <c r="G107" s="1">
        <v>282.829986572265</v>
      </c>
      <c r="H107" s="1">
        <v>27276600</v>
      </c>
      <c r="I107">
        <f t="shared" ca="1" si="4"/>
        <v>341.80714198521162</v>
      </c>
      <c r="J107">
        <f t="shared" si="6"/>
        <v>0.23335703194306265</v>
      </c>
      <c r="K107" t="str">
        <f t="shared" si="7"/>
        <v>Strong Up</v>
      </c>
      <c r="L107">
        <f t="shared" si="5"/>
        <v>0.8842157570077851</v>
      </c>
    </row>
    <row r="108" spans="1:12" x14ac:dyDescent="0.25">
      <c r="A108" s="1" t="s">
        <v>9</v>
      </c>
      <c r="B108" s="2">
        <v>45028</v>
      </c>
      <c r="C108" s="1">
        <v>284.79000854492102</v>
      </c>
      <c r="D108" s="1">
        <v>287.010009765625</v>
      </c>
      <c r="E108" s="1">
        <v>281.95999145507801</v>
      </c>
      <c r="F108" s="1">
        <v>283.489990234375</v>
      </c>
      <c r="G108" s="1">
        <v>283.489990234375</v>
      </c>
      <c r="H108" s="1">
        <v>27403400</v>
      </c>
      <c r="I108">
        <f t="shared" ca="1" si="4"/>
        <v>342.80142647879433</v>
      </c>
      <c r="J108">
        <f t="shared" si="6"/>
        <v>2.2399401468338054</v>
      </c>
      <c r="K108" t="str">
        <f t="shared" si="7"/>
        <v>Strong Up</v>
      </c>
      <c r="L108">
        <f t="shared" si="5"/>
        <v>0.88832618711962408</v>
      </c>
    </row>
    <row r="109" spans="1:12" x14ac:dyDescent="0.25">
      <c r="A109" s="1" t="s">
        <v>9</v>
      </c>
      <c r="B109" s="2">
        <v>45029</v>
      </c>
      <c r="C109" s="1">
        <v>283.58999633789</v>
      </c>
      <c r="D109" s="1">
        <v>289.89999389648398</v>
      </c>
      <c r="E109" s="1">
        <v>283.17001342773398</v>
      </c>
      <c r="F109" s="1">
        <v>289.83999633789</v>
      </c>
      <c r="G109" s="1">
        <v>289.83999633789</v>
      </c>
      <c r="H109" s="1">
        <v>24222700</v>
      </c>
      <c r="I109">
        <f t="shared" ca="1" si="4"/>
        <v>342.76999773297956</v>
      </c>
      <c r="J109">
        <f t="shared" si="6"/>
        <v>-1.2765600801138717</v>
      </c>
      <c r="K109" t="str">
        <f t="shared" si="7"/>
        <v>Weak Move</v>
      </c>
      <c r="L109">
        <f t="shared" si="5"/>
        <v>0.78521857626216152</v>
      </c>
    </row>
    <row r="110" spans="1:12" x14ac:dyDescent="0.25">
      <c r="A110" s="1" t="s">
        <v>9</v>
      </c>
      <c r="B110" s="2">
        <v>45030</v>
      </c>
      <c r="C110" s="1">
        <v>287</v>
      </c>
      <c r="D110" s="1">
        <v>288.48001098632801</v>
      </c>
      <c r="E110" s="1">
        <v>283.69000244140602</v>
      </c>
      <c r="F110" s="1">
        <v>286.14001464843699</v>
      </c>
      <c r="G110" s="1">
        <v>286.14001464843699</v>
      </c>
      <c r="H110" s="1">
        <v>20987900</v>
      </c>
      <c r="I110">
        <f t="shared" ca="1" si="4"/>
        <v>340.70571027483214</v>
      </c>
      <c r="J110">
        <f t="shared" si="6"/>
        <v>0.92960544081860474</v>
      </c>
      <c r="K110" t="str">
        <f t="shared" si="7"/>
        <v>Weak Move</v>
      </c>
      <c r="L110">
        <f t="shared" si="5"/>
        <v>0.68035722511250274</v>
      </c>
    </row>
    <row r="111" spans="1:12" x14ac:dyDescent="0.25">
      <c r="A111" s="1" t="s">
        <v>9</v>
      </c>
      <c r="B111" s="2">
        <v>45033</v>
      </c>
      <c r="C111" s="1">
        <v>289.92999267578102</v>
      </c>
      <c r="D111" s="1">
        <v>291.600006103515</v>
      </c>
      <c r="E111" s="1">
        <v>286.16000366210898</v>
      </c>
      <c r="F111" s="1">
        <v>288.79998779296801</v>
      </c>
      <c r="G111" s="1">
        <v>288.79998779296801</v>
      </c>
      <c r="H111" s="1">
        <v>23836200</v>
      </c>
      <c r="I111">
        <f t="shared" ca="1" si="4"/>
        <v>340.40713936941927</v>
      </c>
      <c r="J111">
        <f t="shared" si="6"/>
        <v>-0.14888943696537529</v>
      </c>
      <c r="K111" t="str">
        <f t="shared" si="7"/>
        <v>Strong Down</v>
      </c>
      <c r="L111">
        <f t="shared" si="5"/>
        <v>0.77268954441495519</v>
      </c>
    </row>
    <row r="112" spans="1:12" x14ac:dyDescent="0.25">
      <c r="A112" s="1" t="s">
        <v>9</v>
      </c>
      <c r="B112" s="2">
        <v>45034</v>
      </c>
      <c r="C112" s="1">
        <v>291.57000732421801</v>
      </c>
      <c r="D112" s="1">
        <v>291.760009765625</v>
      </c>
      <c r="E112" s="1">
        <v>287.010009765625</v>
      </c>
      <c r="F112" s="1">
        <v>288.36999511718699</v>
      </c>
      <c r="G112" s="1">
        <v>288.36999511718699</v>
      </c>
      <c r="H112" s="1">
        <v>20161800</v>
      </c>
      <c r="I112">
        <f t="shared" ca="1" si="4"/>
        <v>339.24714006696382</v>
      </c>
      <c r="J112">
        <f t="shared" si="6"/>
        <v>2.7748063667829621E-2</v>
      </c>
      <c r="K112" t="str">
        <f t="shared" si="7"/>
        <v>Weak Move</v>
      </c>
      <c r="L112">
        <f t="shared" si="5"/>
        <v>0.65357783776715428</v>
      </c>
    </row>
    <row r="113" spans="1:12" x14ac:dyDescent="0.25">
      <c r="A113" s="1" t="s">
        <v>9</v>
      </c>
      <c r="B113" s="2">
        <v>45035</v>
      </c>
      <c r="C113" s="1">
        <v>285.989990234375</v>
      </c>
      <c r="D113" s="1">
        <v>289.04998779296801</v>
      </c>
      <c r="E113" s="1">
        <v>284.54000854492102</v>
      </c>
      <c r="F113" s="1">
        <v>288.45001220703102</v>
      </c>
      <c r="G113" s="1">
        <v>288.45001220703102</v>
      </c>
      <c r="H113" s="1">
        <v>17150300</v>
      </c>
      <c r="I113">
        <f t="shared" ca="1" si="4"/>
        <v>337.87142508370505</v>
      </c>
      <c r="J113">
        <f t="shared" si="6"/>
        <v>-0.81124172523505123</v>
      </c>
      <c r="K113" t="str">
        <f t="shared" si="7"/>
        <v>Weak Move</v>
      </c>
      <c r="L113">
        <f t="shared" si="5"/>
        <v>0.55595512261097846</v>
      </c>
    </row>
    <row r="114" spans="1:12" x14ac:dyDescent="0.25">
      <c r="A114" s="1" t="s">
        <v>9</v>
      </c>
      <c r="B114" s="2">
        <v>45036</v>
      </c>
      <c r="C114" s="1">
        <v>285.25</v>
      </c>
      <c r="D114" s="1">
        <v>289.02999877929602</v>
      </c>
      <c r="E114" s="1">
        <v>285.079986572265</v>
      </c>
      <c r="F114" s="1">
        <v>286.10998535156199</v>
      </c>
      <c r="G114" s="1">
        <v>286.10998535156199</v>
      </c>
      <c r="H114" s="1">
        <v>23244400</v>
      </c>
      <c r="I114">
        <f t="shared" ca="1" si="4"/>
        <v>337.06714303152876</v>
      </c>
      <c r="J114">
        <f t="shared" si="6"/>
        <v>-0.12232204531657663</v>
      </c>
      <c r="K114" t="str">
        <f t="shared" si="7"/>
        <v>Strong Down</v>
      </c>
      <c r="L114">
        <f t="shared" si="5"/>
        <v>0.75350537611695589</v>
      </c>
    </row>
    <row r="115" spans="1:12" x14ac:dyDescent="0.25">
      <c r="A115" s="1" t="s">
        <v>9</v>
      </c>
      <c r="B115" s="2">
        <v>45037</v>
      </c>
      <c r="C115" s="1">
        <v>285.010009765625</v>
      </c>
      <c r="D115" s="1">
        <v>286.26998901367102</v>
      </c>
      <c r="E115" s="1">
        <v>283.05999755859301</v>
      </c>
      <c r="F115" s="1">
        <v>285.760009765625</v>
      </c>
      <c r="G115" s="1">
        <v>285.760009765625</v>
      </c>
      <c r="H115" s="1">
        <v>21676400</v>
      </c>
      <c r="I115">
        <f t="shared" ca="1" si="4"/>
        <v>334.80000087193042</v>
      </c>
      <c r="J115">
        <f t="shared" si="6"/>
        <v>-1.3962838100497399</v>
      </c>
      <c r="K115" t="str">
        <f t="shared" si="7"/>
        <v>Weak Move</v>
      </c>
      <c r="L115">
        <f t="shared" si="5"/>
        <v>0.70267608262039816</v>
      </c>
    </row>
    <row r="116" spans="1:12" x14ac:dyDescent="0.25">
      <c r="A116" s="1" t="s">
        <v>9</v>
      </c>
      <c r="B116" s="2">
        <v>45040</v>
      </c>
      <c r="C116" s="1">
        <v>282.08999633789</v>
      </c>
      <c r="D116" s="1">
        <v>284.95001220703102</v>
      </c>
      <c r="E116" s="1">
        <v>278.72000122070301</v>
      </c>
      <c r="F116" s="1">
        <v>281.76998901367102</v>
      </c>
      <c r="G116" s="1">
        <v>281.76998901367102</v>
      </c>
      <c r="H116" s="1">
        <v>26611000</v>
      </c>
      <c r="I116">
        <f t="shared" ca="1" si="4"/>
        <v>332.96286010742142</v>
      </c>
      <c r="J116">
        <f t="shared" si="6"/>
        <v>-2.2536025245857374</v>
      </c>
      <c r="K116" t="str">
        <f t="shared" si="7"/>
        <v>Strong Down</v>
      </c>
      <c r="L116">
        <f t="shared" si="5"/>
        <v>0.86263924058475649</v>
      </c>
    </row>
    <row r="117" spans="1:12" x14ac:dyDescent="0.25">
      <c r="A117" s="1" t="s">
        <v>9</v>
      </c>
      <c r="B117" s="2">
        <v>45041</v>
      </c>
      <c r="C117" s="1">
        <v>279.510009765625</v>
      </c>
      <c r="D117" s="1">
        <v>281.600006103515</v>
      </c>
      <c r="E117" s="1">
        <v>275.36999511718699</v>
      </c>
      <c r="F117" s="1">
        <v>275.42001342773398</v>
      </c>
      <c r="G117" s="1">
        <v>275.42001342773398</v>
      </c>
      <c r="H117" s="1">
        <v>45772200</v>
      </c>
      <c r="I117">
        <f t="shared" ca="1" si="4"/>
        <v>332.5271475655689</v>
      </c>
      <c r="J117">
        <f t="shared" si="6"/>
        <v>7.2434756796232538</v>
      </c>
      <c r="K117" t="str">
        <f t="shared" si="7"/>
        <v>Strong Up</v>
      </c>
      <c r="L117">
        <f t="shared" si="5"/>
        <v>1.4837809871065946</v>
      </c>
    </row>
    <row r="118" spans="1:12" x14ac:dyDescent="0.25">
      <c r="A118" s="1" t="s">
        <v>9</v>
      </c>
      <c r="B118" s="2">
        <v>45042</v>
      </c>
      <c r="C118" s="1">
        <v>296.70001220703102</v>
      </c>
      <c r="D118" s="1">
        <v>299.57000732421801</v>
      </c>
      <c r="E118" s="1">
        <v>292.73001098632801</v>
      </c>
      <c r="F118" s="1">
        <v>295.36999511718699</v>
      </c>
      <c r="G118" s="1">
        <v>295.36999511718699</v>
      </c>
      <c r="H118" s="1">
        <v>64599200</v>
      </c>
      <c r="I118">
        <f t="shared" ca="1" si="4"/>
        <v>330.07428850446382</v>
      </c>
      <c r="J118">
        <f t="shared" si="6"/>
        <v>3.2027597966830696</v>
      </c>
      <c r="K118" t="str">
        <f t="shared" si="7"/>
        <v>Strong Up</v>
      </c>
      <c r="L118">
        <f t="shared" si="5"/>
        <v>2.0940890921191535</v>
      </c>
    </row>
    <row r="119" spans="1:12" x14ac:dyDescent="0.25">
      <c r="A119" s="1" t="s">
        <v>9</v>
      </c>
      <c r="B119" s="2">
        <v>45043</v>
      </c>
      <c r="C119" s="1">
        <v>295.97000122070301</v>
      </c>
      <c r="D119" s="1">
        <v>305.20001220703102</v>
      </c>
      <c r="E119" s="1">
        <v>295.25</v>
      </c>
      <c r="F119" s="1">
        <v>304.829986572265</v>
      </c>
      <c r="G119" s="1">
        <v>304.829986572265</v>
      </c>
      <c r="H119" s="1">
        <v>46462600</v>
      </c>
      <c r="I119">
        <f t="shared" ca="1" si="4"/>
        <v>327.77714320591468</v>
      </c>
      <c r="J119">
        <f t="shared" si="6"/>
        <v>0.79717327704042096</v>
      </c>
      <c r="K119" t="str">
        <f t="shared" si="7"/>
        <v>Weak Move</v>
      </c>
      <c r="L119">
        <f t="shared" si="5"/>
        <v>1.506161436232885</v>
      </c>
    </row>
    <row r="120" spans="1:12" x14ac:dyDescent="0.25">
      <c r="A120" s="1" t="s">
        <v>9</v>
      </c>
      <c r="B120" s="2">
        <v>45044</v>
      </c>
      <c r="C120" s="1">
        <v>304.010009765625</v>
      </c>
      <c r="D120" s="1">
        <v>308.92999267578102</v>
      </c>
      <c r="E120" s="1">
        <v>303.30999755859301</v>
      </c>
      <c r="F120" s="1">
        <v>307.260009765625</v>
      </c>
      <c r="G120" s="1">
        <v>307.260009765625</v>
      </c>
      <c r="H120" s="1">
        <v>36446700</v>
      </c>
      <c r="I120">
        <f t="shared" ca="1" si="4"/>
        <v>326.1242850167406</v>
      </c>
      <c r="J120">
        <f t="shared" si="6"/>
        <v>-0.55328130996570046</v>
      </c>
      <c r="K120" t="str">
        <f t="shared" si="7"/>
        <v>Weak Move</v>
      </c>
      <c r="L120">
        <f t="shared" si="5"/>
        <v>1.1814795990312443</v>
      </c>
    </row>
    <row r="121" spans="1:12" x14ac:dyDescent="0.25">
      <c r="A121" s="1" t="s">
        <v>9</v>
      </c>
      <c r="B121" s="2">
        <v>45047</v>
      </c>
      <c r="C121" s="1">
        <v>306.97000122070301</v>
      </c>
      <c r="D121" s="1">
        <v>308.600006103515</v>
      </c>
      <c r="E121" s="1">
        <v>305.14999389648398</v>
      </c>
      <c r="F121" s="1">
        <v>305.55999755859301</v>
      </c>
      <c r="G121" s="1">
        <v>305.55999755859301</v>
      </c>
      <c r="H121" s="1">
        <v>21294100</v>
      </c>
      <c r="I121">
        <f t="shared" ca="1" si="4"/>
        <v>325.00285557338117</v>
      </c>
      <c r="J121">
        <f t="shared" si="6"/>
        <v>-4.9088197958658417E-2</v>
      </c>
      <c r="K121" t="str">
        <f t="shared" si="7"/>
        <v>Weak Move</v>
      </c>
      <c r="L121">
        <f t="shared" si="5"/>
        <v>0.69028320066648607</v>
      </c>
    </row>
    <row r="122" spans="1:12" x14ac:dyDescent="0.25">
      <c r="A122" s="1" t="s">
        <v>9</v>
      </c>
      <c r="B122" s="2">
        <v>45048</v>
      </c>
      <c r="C122" s="1">
        <v>307.760009765625</v>
      </c>
      <c r="D122" s="1">
        <v>309.17999267578102</v>
      </c>
      <c r="E122" s="1">
        <v>303.91000366210898</v>
      </c>
      <c r="F122" s="1">
        <v>305.41000366210898</v>
      </c>
      <c r="G122" s="1">
        <v>305.41000366210898</v>
      </c>
      <c r="H122" s="1">
        <v>26404400</v>
      </c>
      <c r="I122">
        <f t="shared" ca="1" si="4"/>
        <v>325.97571236746597</v>
      </c>
      <c r="J122">
        <f t="shared" si="6"/>
        <v>-0.33070618300454441</v>
      </c>
      <c r="K122" t="str">
        <f t="shared" si="7"/>
        <v>Strong Down</v>
      </c>
      <c r="L122">
        <f t="shared" si="5"/>
        <v>0.85594196250032484</v>
      </c>
    </row>
    <row r="123" spans="1:12" x14ac:dyDescent="0.25">
      <c r="A123" s="1" t="s">
        <v>9</v>
      </c>
      <c r="B123" s="2">
        <v>45049</v>
      </c>
      <c r="C123" s="1">
        <v>306.61999511718699</v>
      </c>
      <c r="D123" s="1">
        <v>308.60998535156199</v>
      </c>
      <c r="E123" s="1">
        <v>304.08999633789</v>
      </c>
      <c r="F123" s="1">
        <v>304.39999389648398</v>
      </c>
      <c r="G123" s="1">
        <v>304.39999389648398</v>
      </c>
      <c r="H123" s="1">
        <v>22360800</v>
      </c>
      <c r="I123">
        <f t="shared" ca="1" si="4"/>
        <v>325.79999651227627</v>
      </c>
      <c r="J123">
        <f t="shared" si="6"/>
        <v>0.33180347762045942</v>
      </c>
      <c r="K123" t="str">
        <f t="shared" si="7"/>
        <v>Weak Move</v>
      </c>
      <c r="L123">
        <f t="shared" si="5"/>
        <v>0.72486203189912524</v>
      </c>
    </row>
    <row r="124" spans="1:12" x14ac:dyDescent="0.25">
      <c r="A124" s="1" t="s">
        <v>9</v>
      </c>
      <c r="B124" s="2">
        <v>45050</v>
      </c>
      <c r="C124" s="1">
        <v>306.239990234375</v>
      </c>
      <c r="D124" s="1">
        <v>307.760009765625</v>
      </c>
      <c r="E124" s="1">
        <v>303.39999389648398</v>
      </c>
      <c r="F124" s="1">
        <v>305.41000366210898</v>
      </c>
      <c r="G124" s="1">
        <v>305.41000366210898</v>
      </c>
      <c r="H124" s="1">
        <v>22519900</v>
      </c>
      <c r="I124">
        <f t="shared" ca="1" si="4"/>
        <v>324.30999319893914</v>
      </c>
      <c r="J124">
        <f t="shared" si="6"/>
        <v>1.7157231824574661</v>
      </c>
      <c r="K124" t="str">
        <f t="shared" si="7"/>
        <v>Strong Up</v>
      </c>
      <c r="L124">
        <f t="shared" si="5"/>
        <v>0.73001951952368027</v>
      </c>
    </row>
    <row r="125" spans="1:12" x14ac:dyDescent="0.25">
      <c r="A125" s="1" t="s">
        <v>9</v>
      </c>
      <c r="B125" s="2">
        <v>45051</v>
      </c>
      <c r="C125" s="1">
        <v>305.72000122070301</v>
      </c>
      <c r="D125" s="1">
        <v>311.97000122070301</v>
      </c>
      <c r="E125" s="1">
        <v>304.26998901367102</v>
      </c>
      <c r="F125" s="1">
        <v>310.64999389648398</v>
      </c>
      <c r="G125" s="1">
        <v>310.64999389648398</v>
      </c>
      <c r="H125" s="1">
        <v>28181200</v>
      </c>
      <c r="I125">
        <f t="shared" ca="1" si="4"/>
        <v>322.92142159598154</v>
      </c>
      <c r="J125">
        <f t="shared" si="6"/>
        <v>16.835673374574299</v>
      </c>
      <c r="K125" t="str">
        <f t="shared" si="7"/>
        <v>Strong Up</v>
      </c>
      <c r="L125">
        <f t="shared" si="5"/>
        <v>0.91353985069208743</v>
      </c>
    </row>
    <row r="126" spans="1:12" x14ac:dyDescent="0.25">
      <c r="A126" s="1" t="s">
        <v>10</v>
      </c>
      <c r="B126" s="2">
        <v>44964</v>
      </c>
      <c r="C126" s="1">
        <v>358.510009765625</v>
      </c>
      <c r="D126" s="1">
        <v>364.17999267578102</v>
      </c>
      <c r="E126" s="1">
        <v>354.17999267578102</v>
      </c>
      <c r="F126" s="1">
        <v>362.95001220703102</v>
      </c>
      <c r="G126" s="1">
        <v>362.95001220703102</v>
      </c>
      <c r="H126" s="1">
        <v>6289400</v>
      </c>
      <c r="I126">
        <f ca="1">AVERAGE(OFFSET(F126,61,0,-7))</f>
        <v>322.89856828962002</v>
      </c>
      <c r="J126">
        <f t="shared" si="6"/>
        <v>1.0690106721971382</v>
      </c>
      <c r="K126" t="str">
        <f t="shared" si="7"/>
        <v>Weak Move</v>
      </c>
      <c r="L126">
        <f>H126 / AVERAGE($H$126:$H$187)</f>
        <v>0.97182635949790586</v>
      </c>
    </row>
    <row r="127" spans="1:12" x14ac:dyDescent="0.25">
      <c r="A127" s="1" t="s">
        <v>10</v>
      </c>
      <c r="B127" s="2">
        <v>44965</v>
      </c>
      <c r="C127" s="1">
        <v>360.01998901367102</v>
      </c>
      <c r="D127" s="1">
        <v>368.19000244140602</v>
      </c>
      <c r="E127" s="1">
        <v>358.30999755859301</v>
      </c>
      <c r="F127" s="1">
        <v>366.829986572265</v>
      </c>
      <c r="G127" s="1">
        <v>366.829986572265</v>
      </c>
      <c r="H127" s="1">
        <v>6253200</v>
      </c>
      <c r="I127">
        <f t="shared" ref="I127:I187" ca="1" si="8">AVERAGE(OFFSET(F127,61,0,-7))</f>
        <v>291.7828532627646</v>
      </c>
      <c r="J127">
        <f t="shared" si="6"/>
        <v>-1.1803796665385202</v>
      </c>
      <c r="K127" t="str">
        <f t="shared" si="7"/>
        <v>Weak Move</v>
      </c>
      <c r="L127">
        <f t="shared" ref="L127:L187" si="9">H127 / AVERAGE($H$126:$H$187)</f>
        <v>0.96623280300383263</v>
      </c>
    </row>
    <row r="128" spans="1:12" x14ac:dyDescent="0.25">
      <c r="A128" s="1" t="s">
        <v>10</v>
      </c>
      <c r="B128" s="2">
        <v>44966</v>
      </c>
      <c r="C128" s="1">
        <v>372.41000366210898</v>
      </c>
      <c r="D128" s="1">
        <v>373.829986572265</v>
      </c>
      <c r="E128" s="1">
        <v>361.739990234375</v>
      </c>
      <c r="F128" s="1">
        <v>362.5</v>
      </c>
      <c r="G128" s="1">
        <v>362.5</v>
      </c>
      <c r="H128" s="1">
        <v>6901100</v>
      </c>
      <c r="I128">
        <f t="shared" ca="1" si="8"/>
        <v>258.93571145193874</v>
      </c>
      <c r="J128">
        <f t="shared" si="6"/>
        <v>-4.1765557650863485</v>
      </c>
      <c r="K128" t="str">
        <f t="shared" si="7"/>
        <v>Strong Down</v>
      </c>
      <c r="L128">
        <f t="shared" si="9"/>
        <v>1.0663451027969277</v>
      </c>
    </row>
    <row r="129" spans="1:12" x14ac:dyDescent="0.25">
      <c r="A129" s="1" t="s">
        <v>10</v>
      </c>
      <c r="B129" s="2">
        <v>44967</v>
      </c>
      <c r="C129" s="1">
        <v>359.16000366210898</v>
      </c>
      <c r="D129" s="1">
        <v>362.14001464843699</v>
      </c>
      <c r="E129" s="1">
        <v>347.14001464843699</v>
      </c>
      <c r="F129" s="1">
        <v>347.35998535156199</v>
      </c>
      <c r="G129" s="1">
        <v>347.35998535156199</v>
      </c>
      <c r="H129" s="1">
        <v>7291100</v>
      </c>
      <c r="I129">
        <f t="shared" ca="1" si="8"/>
        <v>226.26999773297953</v>
      </c>
      <c r="J129">
        <f t="shared" si="6"/>
        <v>3.2272059089680103</v>
      </c>
      <c r="K129" t="str">
        <f t="shared" si="7"/>
        <v>Strong Up</v>
      </c>
      <c r="L129">
        <f t="shared" si="9"/>
        <v>1.1266071755231311</v>
      </c>
    </row>
    <row r="130" spans="1:12" x14ac:dyDescent="0.25">
      <c r="A130" s="1" t="s">
        <v>10</v>
      </c>
      <c r="B130" s="2">
        <v>44970</v>
      </c>
      <c r="C130" s="1">
        <v>349.5</v>
      </c>
      <c r="D130" s="1">
        <v>359.70001220703102</v>
      </c>
      <c r="E130" s="1">
        <v>344.25</v>
      </c>
      <c r="F130" s="1">
        <v>358.57000732421801</v>
      </c>
      <c r="G130" s="1">
        <v>358.57000732421801</v>
      </c>
      <c r="H130" s="1">
        <v>7134400</v>
      </c>
      <c r="I130">
        <f t="shared" ca="1" si="8"/>
        <v>194.4571424211772</v>
      </c>
      <c r="J130">
        <f t="shared" si="6"/>
        <v>0.38764651322417504</v>
      </c>
      <c r="K130" t="str">
        <f t="shared" si="7"/>
        <v>Weak Move</v>
      </c>
      <c r="L130">
        <f t="shared" si="9"/>
        <v>1.1023941837380131</v>
      </c>
    </row>
    <row r="131" spans="1:12" x14ac:dyDescent="0.25">
      <c r="A131" s="1" t="s">
        <v>10</v>
      </c>
      <c r="B131" s="2">
        <v>44971</v>
      </c>
      <c r="C131" s="1">
        <v>357.54998779296801</v>
      </c>
      <c r="D131" s="1">
        <v>363.75</v>
      </c>
      <c r="E131" s="1">
        <v>353.39999389648398</v>
      </c>
      <c r="F131" s="1">
        <v>359.95999145507801</v>
      </c>
      <c r="G131" s="1">
        <v>359.95999145507801</v>
      </c>
      <c r="H131" s="1">
        <v>4624800</v>
      </c>
      <c r="I131">
        <f t="shared" ca="1" si="8"/>
        <v>162.41428702218172</v>
      </c>
      <c r="J131">
        <f t="shared" ref="J131:J194" si="10">IF(ROW()=2, "", (F132-F131)/F131*100)</f>
        <v>0.40560673611366399</v>
      </c>
      <c r="K131" t="str">
        <f t="shared" si="7"/>
        <v>Weak Move</v>
      </c>
      <c r="L131">
        <f t="shared" si="9"/>
        <v>0.71461547165165429</v>
      </c>
    </row>
    <row r="132" spans="1:12" x14ac:dyDescent="0.25">
      <c r="A132" s="1" t="s">
        <v>10</v>
      </c>
      <c r="B132" s="2">
        <v>44972</v>
      </c>
      <c r="C132" s="1">
        <v>356.63000488281199</v>
      </c>
      <c r="D132" s="1">
        <v>362.88000488281199</v>
      </c>
      <c r="E132" s="1">
        <v>354.239990234375</v>
      </c>
      <c r="F132" s="1">
        <v>361.42001342773398</v>
      </c>
      <c r="G132" s="1">
        <v>361.42001342773398</v>
      </c>
      <c r="H132" s="1">
        <v>3966000</v>
      </c>
      <c r="I132">
        <f t="shared" ca="1" si="8"/>
        <v>130.15285818917403</v>
      </c>
      <c r="J132">
        <f t="shared" si="10"/>
        <v>-2.9633173523185197</v>
      </c>
      <c r="K132" t="str">
        <f t="shared" ref="K132:K195" si="11">IF(AND(J132&gt; 0, H132 &gt; H131), "Strong Up",
 IF(AND(J132 &lt; 0, H132 &gt; H131), "Strong Down", "Weak Move"))</f>
        <v>Weak Move</v>
      </c>
      <c r="L132">
        <f t="shared" si="9"/>
        <v>0.61281892418492934</v>
      </c>
    </row>
    <row r="133" spans="1:12" x14ac:dyDescent="0.25">
      <c r="A133" s="1" t="s">
        <v>10</v>
      </c>
      <c r="B133" s="2">
        <v>44973</v>
      </c>
      <c r="C133" s="1">
        <v>355</v>
      </c>
      <c r="D133" s="1">
        <v>361.5</v>
      </c>
      <c r="E133" s="1">
        <v>350.30999755859301</v>
      </c>
      <c r="F133" s="1">
        <v>350.70999145507801</v>
      </c>
      <c r="G133" s="1">
        <v>350.70999145507801</v>
      </c>
      <c r="H133" s="1">
        <v>5215700</v>
      </c>
      <c r="I133">
        <f t="shared" ca="1" si="8"/>
        <v>97.915713718959182</v>
      </c>
      <c r="J133">
        <f t="shared" si="10"/>
        <v>-0.78412365401692408</v>
      </c>
      <c r="K133" t="str">
        <f t="shared" si="11"/>
        <v>Strong Down</v>
      </c>
      <c r="L133">
        <f t="shared" si="9"/>
        <v>0.80592023773861221</v>
      </c>
    </row>
    <row r="134" spans="1:12" x14ac:dyDescent="0.25">
      <c r="A134" s="1" t="s">
        <v>10</v>
      </c>
      <c r="B134" s="2">
        <v>44974</v>
      </c>
      <c r="C134" s="1">
        <v>347.91000366210898</v>
      </c>
      <c r="D134" s="1">
        <v>349</v>
      </c>
      <c r="E134" s="1">
        <v>342.44000244140602</v>
      </c>
      <c r="F134" s="1">
        <v>347.95999145507801</v>
      </c>
      <c r="G134" s="1">
        <v>347.95999145507801</v>
      </c>
      <c r="H134" s="1">
        <v>5294700</v>
      </c>
      <c r="I134">
        <f t="shared" ca="1" si="8"/>
        <v>96.16428484235486</v>
      </c>
      <c r="J134">
        <f t="shared" si="10"/>
        <v>-3.0060902724296126</v>
      </c>
      <c r="K134" t="str">
        <f t="shared" si="11"/>
        <v>Strong Down</v>
      </c>
      <c r="L134">
        <f t="shared" si="9"/>
        <v>0.81812717041904826</v>
      </c>
    </row>
    <row r="135" spans="1:12" x14ac:dyDescent="0.25">
      <c r="A135" s="1" t="s">
        <v>10</v>
      </c>
      <c r="B135" s="2">
        <v>44978</v>
      </c>
      <c r="C135" s="1">
        <v>342.850006103515</v>
      </c>
      <c r="D135" s="1">
        <v>344.13000488281199</v>
      </c>
      <c r="E135" s="1">
        <v>336.42001342773398</v>
      </c>
      <c r="F135" s="1">
        <v>337.5</v>
      </c>
      <c r="G135" s="1">
        <v>337.5</v>
      </c>
      <c r="H135" s="1">
        <v>5710300</v>
      </c>
      <c r="I135">
        <f t="shared" ca="1" si="8"/>
        <v>95.391427176339235</v>
      </c>
      <c r="J135">
        <f t="shared" si="10"/>
        <v>-0.77629484953718864</v>
      </c>
      <c r="K135" t="str">
        <f t="shared" si="11"/>
        <v>Strong Down</v>
      </c>
      <c r="L135">
        <f t="shared" si="9"/>
        <v>0.8823449074062536</v>
      </c>
    </row>
    <row r="136" spans="1:12" x14ac:dyDescent="0.25">
      <c r="A136" s="1" t="s">
        <v>10</v>
      </c>
      <c r="B136" s="2">
        <v>44979</v>
      </c>
      <c r="C136" s="1">
        <v>337.5</v>
      </c>
      <c r="D136" s="1">
        <v>341.91000366210898</v>
      </c>
      <c r="E136" s="1">
        <v>332.82000732421801</v>
      </c>
      <c r="F136" s="1">
        <v>334.88000488281199</v>
      </c>
      <c r="G136" s="1">
        <v>334.88000488281199</v>
      </c>
      <c r="H136" s="1">
        <v>4546200</v>
      </c>
      <c r="I136">
        <f t="shared" ca="1" si="8"/>
        <v>94.904284885951412</v>
      </c>
      <c r="J136">
        <f t="shared" si="10"/>
        <v>-3.3534432700028911</v>
      </c>
      <c r="K136" t="str">
        <f t="shared" si="11"/>
        <v>Weak Move</v>
      </c>
      <c r="L136">
        <f t="shared" si="9"/>
        <v>0.70247034622529647</v>
      </c>
    </row>
    <row r="137" spans="1:12" x14ac:dyDescent="0.25">
      <c r="A137" s="1" t="s">
        <v>10</v>
      </c>
      <c r="B137" s="2">
        <v>44980</v>
      </c>
      <c r="C137" s="1">
        <v>331.23001098632801</v>
      </c>
      <c r="D137" s="1">
        <v>331.27999877929602</v>
      </c>
      <c r="E137" s="1">
        <v>314.29998779296801</v>
      </c>
      <c r="F137" s="1">
        <v>323.64999389648398</v>
      </c>
      <c r="G137" s="1">
        <v>323.64999389648398</v>
      </c>
      <c r="H137" s="1">
        <v>13238700</v>
      </c>
      <c r="I137">
        <f t="shared" ca="1" si="8"/>
        <v>94.467142377580885</v>
      </c>
      <c r="J137">
        <f t="shared" si="10"/>
        <v>-2.008342383</v>
      </c>
      <c r="K137" t="str">
        <f t="shared" si="11"/>
        <v>Strong Down</v>
      </c>
      <c r="L137">
        <f t="shared" si="9"/>
        <v>2.0456192364112518</v>
      </c>
    </row>
    <row r="138" spans="1:12" x14ac:dyDescent="0.25">
      <c r="A138" s="1" t="s">
        <v>10</v>
      </c>
      <c r="B138" s="2">
        <v>44981</v>
      </c>
      <c r="C138" s="1">
        <v>319.29998779296801</v>
      </c>
      <c r="D138" s="1">
        <v>321.5</v>
      </c>
      <c r="E138" s="1">
        <v>314.51998901367102</v>
      </c>
      <c r="F138" s="1">
        <v>317.14999389648398</v>
      </c>
      <c r="G138" s="1">
        <v>317.14999389648398</v>
      </c>
      <c r="H138" s="1">
        <v>6830700</v>
      </c>
      <c r="I138">
        <f t="shared" ca="1" si="8"/>
        <v>93.905713762555777</v>
      </c>
      <c r="J138">
        <f t="shared" si="10"/>
        <v>1.8540138722913695</v>
      </c>
      <c r="K138" t="str">
        <f t="shared" si="11"/>
        <v>Weak Move</v>
      </c>
      <c r="L138">
        <f t="shared" si="9"/>
        <v>1.0554670260791721</v>
      </c>
    </row>
    <row r="139" spans="1:12" x14ac:dyDescent="0.25">
      <c r="A139" s="1" t="s">
        <v>10</v>
      </c>
      <c r="B139" s="2">
        <v>44984</v>
      </c>
      <c r="C139" s="1">
        <v>323.86999511718699</v>
      </c>
      <c r="D139" s="1">
        <v>330</v>
      </c>
      <c r="E139" s="1">
        <v>322.11999511718699</v>
      </c>
      <c r="F139" s="1">
        <v>323.02999877929602</v>
      </c>
      <c r="G139" s="1">
        <v>323.02999877929602</v>
      </c>
      <c r="H139" s="1">
        <v>6142600</v>
      </c>
      <c r="I139">
        <f t="shared" ca="1" si="8"/>
        <v>93.105713980538482</v>
      </c>
      <c r="J139">
        <f t="shared" si="10"/>
        <v>-0.27861000522708024</v>
      </c>
      <c r="K139" t="str">
        <f t="shared" si="11"/>
        <v>Weak Move</v>
      </c>
      <c r="L139">
        <f t="shared" si="9"/>
        <v>0.94914309725122215</v>
      </c>
    </row>
    <row r="140" spans="1:12" x14ac:dyDescent="0.25">
      <c r="A140" s="1" t="s">
        <v>10</v>
      </c>
      <c r="B140" s="2">
        <v>44985</v>
      </c>
      <c r="C140" s="1">
        <v>323.70001220703102</v>
      </c>
      <c r="D140" s="1">
        <v>327.61999511718699</v>
      </c>
      <c r="E140" s="1">
        <v>321.17001342773398</v>
      </c>
      <c r="F140" s="1">
        <v>322.13000488281199</v>
      </c>
      <c r="G140" s="1">
        <v>322.13000488281199</v>
      </c>
      <c r="H140" s="1">
        <v>3676100</v>
      </c>
      <c r="I140">
        <f t="shared" ca="1" si="8"/>
        <v>92.105713980538482</v>
      </c>
      <c r="J140">
        <f t="shared" si="10"/>
        <v>-2.68524936062096</v>
      </c>
      <c r="K140" t="str">
        <f t="shared" si="11"/>
        <v>Weak Move</v>
      </c>
      <c r="L140">
        <f t="shared" si="9"/>
        <v>0.56802411679178488</v>
      </c>
    </row>
    <row r="141" spans="1:12" x14ac:dyDescent="0.25">
      <c r="A141" s="1" t="s">
        <v>10</v>
      </c>
      <c r="B141" s="2">
        <v>44986</v>
      </c>
      <c r="C141" s="1">
        <v>321.54998779296801</v>
      </c>
      <c r="D141" s="1">
        <v>326.600006103515</v>
      </c>
      <c r="E141" s="1">
        <v>312.35998535156199</v>
      </c>
      <c r="F141" s="1">
        <v>313.48001098632801</v>
      </c>
      <c r="G141" s="1">
        <v>313.48001098632801</v>
      </c>
      <c r="H141" s="1">
        <v>4911300</v>
      </c>
      <c r="I141">
        <f t="shared" ca="1" si="8"/>
        <v>91.32285744803292</v>
      </c>
      <c r="J141">
        <f t="shared" si="10"/>
        <v>-0.51040131665230959</v>
      </c>
      <c r="K141" t="str">
        <f t="shared" si="11"/>
        <v>Strong Down</v>
      </c>
      <c r="L141">
        <f t="shared" si="9"/>
        <v>0.75888491738513453</v>
      </c>
    </row>
    <row r="142" spans="1:12" x14ac:dyDescent="0.25">
      <c r="A142" s="1" t="s">
        <v>10</v>
      </c>
      <c r="B142" s="2">
        <v>44987</v>
      </c>
      <c r="C142" s="1">
        <v>310.95999145507801</v>
      </c>
      <c r="D142" s="1">
        <v>315.57000732421801</v>
      </c>
      <c r="E142" s="1">
        <v>310.38000488281199</v>
      </c>
      <c r="F142" s="1">
        <v>311.88000488281199</v>
      </c>
      <c r="G142" s="1">
        <v>311.88000488281199</v>
      </c>
      <c r="H142" s="1">
        <v>4911000</v>
      </c>
      <c r="I142">
        <f t="shared" ca="1" si="8"/>
        <v>90.740001133510006</v>
      </c>
      <c r="J142">
        <f t="shared" si="10"/>
        <v>1.0580953383686764</v>
      </c>
      <c r="K142" t="str">
        <f t="shared" si="11"/>
        <v>Weak Move</v>
      </c>
      <c r="L142">
        <f t="shared" si="9"/>
        <v>0.75883856194457588</v>
      </c>
    </row>
    <row r="143" spans="1:12" x14ac:dyDescent="0.25">
      <c r="A143" s="1" t="s">
        <v>10</v>
      </c>
      <c r="B143" s="2">
        <v>44988</v>
      </c>
      <c r="C143" s="1">
        <v>315.45001220703102</v>
      </c>
      <c r="D143" s="1">
        <v>317.489990234375</v>
      </c>
      <c r="E143" s="1">
        <v>310.82000732421801</v>
      </c>
      <c r="F143" s="1">
        <v>315.17999267578102</v>
      </c>
      <c r="G143" s="1">
        <v>315.17999267578102</v>
      </c>
      <c r="H143" s="1">
        <v>5953300</v>
      </c>
      <c r="I143">
        <f t="shared" ca="1" si="8"/>
        <v>90.777143205915152</v>
      </c>
      <c r="J143">
        <f t="shared" si="10"/>
        <v>-0.99942698448036715</v>
      </c>
      <c r="K143" t="str">
        <f t="shared" si="11"/>
        <v>Strong Down</v>
      </c>
      <c r="L143">
        <f t="shared" si="9"/>
        <v>0.91989281425873415</v>
      </c>
    </row>
    <row r="144" spans="1:12" x14ac:dyDescent="0.25">
      <c r="A144" s="1" t="s">
        <v>10</v>
      </c>
      <c r="B144" s="2">
        <v>44991</v>
      </c>
      <c r="C144" s="1">
        <v>317</v>
      </c>
      <c r="D144" s="1">
        <v>323.29998779296801</v>
      </c>
      <c r="E144" s="1">
        <v>311.83999633789</v>
      </c>
      <c r="F144" s="1">
        <v>312.02999877929602</v>
      </c>
      <c r="G144" s="1">
        <v>312.02999877929602</v>
      </c>
      <c r="H144" s="1">
        <v>5660700</v>
      </c>
      <c r="I144">
        <f t="shared" ca="1" si="8"/>
        <v>91.09428514753067</v>
      </c>
      <c r="J144">
        <f t="shared" si="10"/>
        <v>-1.1409151596065146</v>
      </c>
      <c r="K144" t="str">
        <f t="shared" si="11"/>
        <v>Weak Move</v>
      </c>
      <c r="L144">
        <f t="shared" si="9"/>
        <v>0.87468080790056213</v>
      </c>
    </row>
    <row r="145" spans="1:12" x14ac:dyDescent="0.25">
      <c r="A145" s="1" t="s">
        <v>10</v>
      </c>
      <c r="B145" s="2">
        <v>44992</v>
      </c>
      <c r="C145" s="1">
        <v>312.67999267578102</v>
      </c>
      <c r="D145" s="1">
        <v>314.29998779296801</v>
      </c>
      <c r="E145" s="1">
        <v>306.61999511718699</v>
      </c>
      <c r="F145" s="1">
        <v>308.47000122070301</v>
      </c>
      <c r="G145" s="1">
        <v>308.47000122070301</v>
      </c>
      <c r="H145" s="1">
        <v>4553100</v>
      </c>
      <c r="I145">
        <f t="shared" ca="1" si="8"/>
        <v>91.738571166992159</v>
      </c>
      <c r="J145">
        <f t="shared" si="10"/>
        <v>1.0762820731610216</v>
      </c>
      <c r="K145" t="str">
        <f t="shared" si="11"/>
        <v>Weak Move</v>
      </c>
      <c r="L145">
        <f t="shared" si="9"/>
        <v>0.70353652135814471</v>
      </c>
    </row>
    <row r="146" spans="1:12" x14ac:dyDescent="0.25">
      <c r="A146" s="1" t="s">
        <v>10</v>
      </c>
      <c r="B146" s="2">
        <v>44993</v>
      </c>
      <c r="C146" s="1">
        <v>309.29000854492102</v>
      </c>
      <c r="D146" s="1">
        <v>311.829986572265</v>
      </c>
      <c r="E146" s="1">
        <v>305.75</v>
      </c>
      <c r="F146" s="1">
        <v>311.79000854492102</v>
      </c>
      <c r="G146" s="1">
        <v>311.79000854492102</v>
      </c>
      <c r="H146" s="1">
        <v>3479500</v>
      </c>
      <c r="I146">
        <f t="shared" ca="1" si="8"/>
        <v>92.427142551967037</v>
      </c>
      <c r="J146">
        <f t="shared" si="10"/>
        <v>-4.49341203427515</v>
      </c>
      <c r="K146" t="str">
        <f t="shared" si="11"/>
        <v>Weak Move</v>
      </c>
      <c r="L146">
        <f t="shared" si="9"/>
        <v>0.53764585141237053</v>
      </c>
    </row>
    <row r="147" spans="1:12" x14ac:dyDescent="0.25">
      <c r="A147" s="1" t="s">
        <v>10</v>
      </c>
      <c r="B147" s="2">
        <v>44994</v>
      </c>
      <c r="C147" s="1">
        <v>312.079986572265</v>
      </c>
      <c r="D147" s="1">
        <v>312.510009765625</v>
      </c>
      <c r="E147" s="1">
        <v>294.88000488281199</v>
      </c>
      <c r="F147" s="1">
        <v>297.77999877929602</v>
      </c>
      <c r="G147" s="1">
        <v>297.77999877929602</v>
      </c>
      <c r="H147" s="1">
        <v>7443400</v>
      </c>
      <c r="I147">
        <f t="shared" ca="1" si="8"/>
        <v>93.077142987932447</v>
      </c>
      <c r="J147">
        <f t="shared" si="10"/>
        <v>-1.6858046323627196</v>
      </c>
      <c r="K147" t="str">
        <f t="shared" si="11"/>
        <v>Strong Down</v>
      </c>
      <c r="L147">
        <f t="shared" si="9"/>
        <v>1.1501402875133895</v>
      </c>
    </row>
    <row r="148" spans="1:12" x14ac:dyDescent="0.25">
      <c r="A148" s="1" t="s">
        <v>10</v>
      </c>
      <c r="B148" s="2">
        <v>44995</v>
      </c>
      <c r="C148" s="1">
        <v>297.89999389648398</v>
      </c>
      <c r="D148" s="1">
        <v>298.79000854492102</v>
      </c>
      <c r="E148" s="1">
        <v>289</v>
      </c>
      <c r="F148" s="1">
        <v>292.760009765625</v>
      </c>
      <c r="G148" s="1">
        <v>292.760009765625</v>
      </c>
      <c r="H148" s="1">
        <v>5759300</v>
      </c>
      <c r="I148">
        <f t="shared" ca="1" si="8"/>
        <v>93.414285932268371</v>
      </c>
      <c r="J148">
        <f t="shared" si="10"/>
        <v>0.2561825300526625</v>
      </c>
      <c r="K148" t="str">
        <f t="shared" si="11"/>
        <v>Weak Move</v>
      </c>
      <c r="L148">
        <f t="shared" si="9"/>
        <v>0.88991629603082789</v>
      </c>
    </row>
    <row r="149" spans="1:12" x14ac:dyDescent="0.25">
      <c r="A149" s="1" t="s">
        <v>10</v>
      </c>
      <c r="B149" s="2">
        <v>44998</v>
      </c>
      <c r="C149" s="1">
        <v>287.33999633789</v>
      </c>
      <c r="D149" s="1">
        <v>299.239990234375</v>
      </c>
      <c r="E149" s="1">
        <v>285.329986572265</v>
      </c>
      <c r="F149" s="1">
        <v>293.510009765625</v>
      </c>
      <c r="G149" s="1">
        <v>293.510009765625</v>
      </c>
      <c r="H149" s="1">
        <v>6292400</v>
      </c>
      <c r="I149">
        <f t="shared" ca="1" si="8"/>
        <v>93.48571450369694</v>
      </c>
      <c r="J149">
        <f t="shared" si="10"/>
        <v>0.48720405717096571</v>
      </c>
      <c r="K149" t="str">
        <f t="shared" si="11"/>
        <v>Strong Up</v>
      </c>
      <c r="L149">
        <f t="shared" si="9"/>
        <v>0.97228991390349195</v>
      </c>
    </row>
    <row r="150" spans="1:12" x14ac:dyDescent="0.25">
      <c r="A150" s="1" t="s">
        <v>10</v>
      </c>
      <c r="B150" s="2">
        <v>44999</v>
      </c>
      <c r="C150" s="1">
        <v>295.97000122070301</v>
      </c>
      <c r="D150" s="1">
        <v>297.45001220703102</v>
      </c>
      <c r="E150" s="1">
        <v>290.30999755859301</v>
      </c>
      <c r="F150" s="1">
        <v>294.94000244140602</v>
      </c>
      <c r="G150" s="1">
        <v>294.94000244140602</v>
      </c>
      <c r="H150" s="1">
        <v>5956700</v>
      </c>
      <c r="I150">
        <f t="shared" ca="1" si="8"/>
        <v>93.392858232770593</v>
      </c>
      <c r="J150">
        <f t="shared" si="10"/>
        <v>3.0006123381900962</v>
      </c>
      <c r="K150" t="str">
        <f t="shared" si="11"/>
        <v>Weak Move</v>
      </c>
      <c r="L150">
        <f t="shared" si="9"/>
        <v>0.92041817591839847</v>
      </c>
    </row>
    <row r="151" spans="1:12" x14ac:dyDescent="0.25">
      <c r="A151" s="1" t="s">
        <v>10</v>
      </c>
      <c r="B151" s="2">
        <v>45000</v>
      </c>
      <c r="C151" s="1">
        <v>292.510009765625</v>
      </c>
      <c r="D151" s="1">
        <v>306.30999755859301</v>
      </c>
      <c r="E151" s="1">
        <v>292.27999877929602</v>
      </c>
      <c r="F151" s="1">
        <v>303.79000854492102</v>
      </c>
      <c r="G151" s="1">
        <v>303.79000854492102</v>
      </c>
      <c r="H151" s="1">
        <v>9215300</v>
      </c>
      <c r="I151">
        <f t="shared" ca="1" si="8"/>
        <v>93.425715855189679</v>
      </c>
      <c r="J151">
        <f t="shared" si="10"/>
        <v>2.0639220636990943</v>
      </c>
      <c r="K151" t="str">
        <f t="shared" si="11"/>
        <v>Strong Up</v>
      </c>
      <c r="L151">
        <f t="shared" si="9"/>
        <v>1.4239309712661068</v>
      </c>
    </row>
    <row r="152" spans="1:12" x14ac:dyDescent="0.25">
      <c r="A152" s="1" t="s">
        <v>10</v>
      </c>
      <c r="B152" s="2">
        <v>45001</v>
      </c>
      <c r="C152" s="1">
        <v>304.75</v>
      </c>
      <c r="D152" s="1">
        <v>316.600006103515</v>
      </c>
      <c r="E152" s="1">
        <v>301.70999145507801</v>
      </c>
      <c r="F152" s="1">
        <v>310.05999755859301</v>
      </c>
      <c r="G152" s="1">
        <v>310.05999755859301</v>
      </c>
      <c r="H152" s="1">
        <v>7903700</v>
      </c>
      <c r="I152">
        <f t="shared" ca="1" si="8"/>
        <v>93.564287458147291</v>
      </c>
      <c r="J152">
        <f t="shared" si="10"/>
        <v>-2.1157187674147959</v>
      </c>
      <c r="K152" t="str">
        <f t="shared" si="11"/>
        <v>Weak Move</v>
      </c>
      <c r="L152">
        <f t="shared" si="9"/>
        <v>1.2212649851438291</v>
      </c>
    </row>
    <row r="153" spans="1:12" x14ac:dyDescent="0.25">
      <c r="A153" s="1" t="s">
        <v>10</v>
      </c>
      <c r="B153" s="2">
        <v>45002</v>
      </c>
      <c r="C153" s="1">
        <v>310.05999755859301</v>
      </c>
      <c r="D153" s="1">
        <v>310.760009765625</v>
      </c>
      <c r="E153" s="1">
        <v>300</v>
      </c>
      <c r="F153" s="1">
        <v>303.5</v>
      </c>
      <c r="G153" s="1">
        <v>303.5</v>
      </c>
      <c r="H153" s="1">
        <v>6918800</v>
      </c>
      <c r="I153">
        <f t="shared" ca="1" si="8"/>
        <v>94.550001961844245</v>
      </c>
      <c r="J153">
        <f t="shared" si="10"/>
        <v>0.53706915413904066</v>
      </c>
      <c r="K153" t="str">
        <f t="shared" si="11"/>
        <v>Weak Move</v>
      </c>
      <c r="L153">
        <f t="shared" si="9"/>
        <v>1.0690800737898862</v>
      </c>
    </row>
    <row r="154" spans="1:12" x14ac:dyDescent="0.25">
      <c r="A154" s="1" t="s">
        <v>10</v>
      </c>
      <c r="B154" s="2">
        <v>45005</v>
      </c>
      <c r="C154" s="1">
        <v>299.79000854492102</v>
      </c>
      <c r="D154" s="1">
        <v>307.5</v>
      </c>
      <c r="E154" s="1">
        <v>296</v>
      </c>
      <c r="F154" s="1">
        <v>305.13000488281199</v>
      </c>
      <c r="G154" s="1">
        <v>305.13000488281199</v>
      </c>
      <c r="H154" s="1">
        <v>5113400</v>
      </c>
      <c r="I154">
        <f t="shared" ca="1" si="8"/>
        <v>95.665715898786104</v>
      </c>
      <c r="J154">
        <f t="shared" si="10"/>
        <v>0.2163024453666936</v>
      </c>
      <c r="K154" t="str">
        <f t="shared" si="11"/>
        <v>Weak Move</v>
      </c>
      <c r="L154">
        <f t="shared" si="9"/>
        <v>0.79011303250812348</v>
      </c>
    </row>
    <row r="155" spans="1:12" x14ac:dyDescent="0.25">
      <c r="A155" s="1" t="s">
        <v>10</v>
      </c>
      <c r="B155" s="2">
        <v>45006</v>
      </c>
      <c r="C155" s="1">
        <v>306.32000732421801</v>
      </c>
      <c r="D155" s="1">
        <v>307.92001342773398</v>
      </c>
      <c r="E155" s="1">
        <v>300.42999267578102</v>
      </c>
      <c r="F155" s="1">
        <v>305.79000854492102</v>
      </c>
      <c r="G155" s="1">
        <v>305.79000854492102</v>
      </c>
      <c r="H155" s="1">
        <v>4886300</v>
      </c>
      <c r="I155">
        <f t="shared" ca="1" si="8"/>
        <v>96.990001133509779</v>
      </c>
      <c r="J155">
        <f t="shared" si="10"/>
        <v>-3.8882940306044644</v>
      </c>
      <c r="K155" t="str">
        <f t="shared" si="11"/>
        <v>Weak Move</v>
      </c>
      <c r="L155">
        <f t="shared" si="9"/>
        <v>0.75502196400524968</v>
      </c>
    </row>
    <row r="156" spans="1:12" x14ac:dyDescent="0.25">
      <c r="A156" s="1" t="s">
        <v>10</v>
      </c>
      <c r="B156" s="2">
        <v>45007</v>
      </c>
      <c r="C156" s="1">
        <v>306.30999755859301</v>
      </c>
      <c r="D156" s="1">
        <v>306.45001220703102</v>
      </c>
      <c r="E156" s="1">
        <v>293.54000854492102</v>
      </c>
      <c r="F156" s="1">
        <v>293.89999389648398</v>
      </c>
      <c r="G156" s="1">
        <v>293.89999389648398</v>
      </c>
      <c r="H156" s="1">
        <v>5808000</v>
      </c>
      <c r="I156">
        <f t="shared" ca="1" si="8"/>
        <v>99.108571733746885</v>
      </c>
      <c r="J156">
        <f t="shared" si="10"/>
        <v>9.0064653863266653</v>
      </c>
      <c r="K156" t="str">
        <f t="shared" si="11"/>
        <v>Strong Up</v>
      </c>
      <c r="L156">
        <f t="shared" si="9"/>
        <v>0.89744132921484354</v>
      </c>
    </row>
    <row r="157" spans="1:12" x14ac:dyDescent="0.25">
      <c r="A157" s="1" t="s">
        <v>10</v>
      </c>
      <c r="B157" s="2">
        <v>45008</v>
      </c>
      <c r="C157" s="1">
        <v>304.67999267578102</v>
      </c>
      <c r="D157" s="1">
        <v>322.77999877929602</v>
      </c>
      <c r="E157" s="1">
        <v>304.14001464843699</v>
      </c>
      <c r="F157" s="1">
        <v>320.36999511718699</v>
      </c>
      <c r="G157" s="1">
        <v>320.36999511718699</v>
      </c>
      <c r="H157" s="1">
        <v>15653300</v>
      </c>
      <c r="I157">
        <f t="shared" ca="1" si="8"/>
        <v>100.90285709926026</v>
      </c>
      <c r="J157">
        <f t="shared" si="10"/>
        <v>2.5033616298294059</v>
      </c>
      <c r="K157" t="str">
        <f t="shared" si="11"/>
        <v>Strong Up</v>
      </c>
      <c r="L157">
        <f t="shared" si="9"/>
        <v>2.4187187256540481</v>
      </c>
    </row>
    <row r="158" spans="1:12" x14ac:dyDescent="0.25">
      <c r="A158" s="1" t="s">
        <v>10</v>
      </c>
      <c r="B158" s="2">
        <v>45009</v>
      </c>
      <c r="C158" s="1">
        <v>320.63000488281199</v>
      </c>
      <c r="D158" s="1">
        <v>331.829986572265</v>
      </c>
      <c r="E158" s="1">
        <v>320.63000488281199</v>
      </c>
      <c r="F158" s="1">
        <v>328.39001464843699</v>
      </c>
      <c r="G158" s="1">
        <v>328.39001464843699</v>
      </c>
      <c r="H158" s="1">
        <v>12991700</v>
      </c>
      <c r="I158">
        <f t="shared" ca="1" si="8"/>
        <v>102.61857169015025</v>
      </c>
      <c r="J158">
        <f t="shared" si="10"/>
        <v>-0.22229999505604209</v>
      </c>
      <c r="K158" t="str">
        <f t="shared" si="11"/>
        <v>Weak Move</v>
      </c>
      <c r="L158">
        <f t="shared" si="9"/>
        <v>2.0074532570179895</v>
      </c>
    </row>
    <row r="159" spans="1:12" x14ac:dyDescent="0.25">
      <c r="A159" s="1" t="s">
        <v>10</v>
      </c>
      <c r="B159" s="2">
        <v>45012</v>
      </c>
      <c r="C159" s="1">
        <v>327.54998779296801</v>
      </c>
      <c r="D159" s="1">
        <v>336.44000244140602</v>
      </c>
      <c r="E159" s="1">
        <v>324.41000366210898</v>
      </c>
      <c r="F159" s="1">
        <v>327.66000366210898</v>
      </c>
      <c r="G159" s="1">
        <v>327.66000366210898</v>
      </c>
      <c r="H159" s="1">
        <v>8625800</v>
      </c>
      <c r="I159">
        <f t="shared" ca="1" si="8"/>
        <v>103.97714233398385</v>
      </c>
      <c r="J159">
        <f t="shared" si="10"/>
        <v>-1.2635093090907852</v>
      </c>
      <c r="K159" t="str">
        <f t="shared" si="11"/>
        <v>Weak Move</v>
      </c>
      <c r="L159">
        <f t="shared" si="9"/>
        <v>1.3328425305684224</v>
      </c>
    </row>
    <row r="160" spans="1:12" x14ac:dyDescent="0.25">
      <c r="A160" s="1" t="s">
        <v>10</v>
      </c>
      <c r="B160" s="2">
        <v>45013</v>
      </c>
      <c r="C160" s="1">
        <v>326.05999755859301</v>
      </c>
      <c r="D160" s="1">
        <v>333.32000732421801</v>
      </c>
      <c r="E160" s="1">
        <v>321.27999877929602</v>
      </c>
      <c r="F160" s="1">
        <v>323.51998901367102</v>
      </c>
      <c r="G160" s="1">
        <v>323.51998901367102</v>
      </c>
      <c r="H160" s="1">
        <v>6489400</v>
      </c>
      <c r="I160">
        <f t="shared" ca="1" si="8"/>
        <v>104.26142774309371</v>
      </c>
      <c r="J160">
        <f t="shared" si="10"/>
        <v>2.6304432661393888</v>
      </c>
      <c r="K160" t="str">
        <f t="shared" si="11"/>
        <v>Weak Move</v>
      </c>
      <c r="L160">
        <f t="shared" si="9"/>
        <v>1.0027299865369845</v>
      </c>
    </row>
    <row r="161" spans="1:12" x14ac:dyDescent="0.25">
      <c r="A161" s="1" t="s">
        <v>10</v>
      </c>
      <c r="B161" s="2">
        <v>45014</v>
      </c>
      <c r="C161" s="1">
        <v>326.29000854492102</v>
      </c>
      <c r="D161" s="1">
        <v>332.850006103515</v>
      </c>
      <c r="E161" s="1">
        <v>325.73001098632801</v>
      </c>
      <c r="F161" s="1">
        <v>332.02999877929602</v>
      </c>
      <c r="G161" s="1">
        <v>332.02999877929602</v>
      </c>
      <c r="H161" s="1">
        <v>6287300</v>
      </c>
      <c r="I161">
        <f t="shared" ca="1" si="8"/>
        <v>104.10428510393356</v>
      </c>
      <c r="J161">
        <f t="shared" si="10"/>
        <v>1.9275348372178702</v>
      </c>
      <c r="K161" t="str">
        <f t="shared" si="11"/>
        <v>Weak Move</v>
      </c>
      <c r="L161">
        <f t="shared" si="9"/>
        <v>0.97150187141399547</v>
      </c>
    </row>
    <row r="162" spans="1:12" x14ac:dyDescent="0.25">
      <c r="A162" s="1" t="s">
        <v>10</v>
      </c>
      <c r="B162" s="2">
        <v>45015</v>
      </c>
      <c r="C162" s="1">
        <v>340.26998901367102</v>
      </c>
      <c r="D162" s="1">
        <v>343.29000854492102</v>
      </c>
      <c r="E162" s="1">
        <v>335.29998779296801</v>
      </c>
      <c r="F162" s="1">
        <v>338.42999267578102</v>
      </c>
      <c r="G162" s="1">
        <v>338.42999267578102</v>
      </c>
      <c r="H162" s="1">
        <v>7131500</v>
      </c>
      <c r="I162">
        <f t="shared" ca="1" si="8"/>
        <v>104.09999956403399</v>
      </c>
      <c r="J162">
        <f t="shared" si="10"/>
        <v>2.0831541125555528</v>
      </c>
      <c r="K162" t="str">
        <f t="shared" si="11"/>
        <v>Strong Up</v>
      </c>
      <c r="L162">
        <f t="shared" si="9"/>
        <v>1.1019460811459465</v>
      </c>
    </row>
    <row r="163" spans="1:12" x14ac:dyDescent="0.25">
      <c r="A163" s="1" t="s">
        <v>10</v>
      </c>
      <c r="B163" s="2">
        <v>45016</v>
      </c>
      <c r="C163" s="1">
        <v>340.04998779296801</v>
      </c>
      <c r="D163" s="1">
        <v>345.83999633789</v>
      </c>
      <c r="E163" s="1">
        <v>337.20001220703102</v>
      </c>
      <c r="F163" s="1">
        <v>345.48001098632801</v>
      </c>
      <c r="G163" s="1">
        <v>345.48001098632801</v>
      </c>
      <c r="H163" s="1">
        <v>5610200</v>
      </c>
      <c r="I163">
        <f t="shared" ca="1" si="8"/>
        <v>103.45428575788171</v>
      </c>
      <c r="J163">
        <f t="shared" si="10"/>
        <v>0.81046303807105569</v>
      </c>
      <c r="K163" t="str">
        <f t="shared" si="11"/>
        <v>Weak Move</v>
      </c>
      <c r="L163">
        <f t="shared" si="9"/>
        <v>0.86687764207319473</v>
      </c>
    </row>
    <row r="164" spans="1:12" x14ac:dyDescent="0.25">
      <c r="A164" s="1" t="s">
        <v>10</v>
      </c>
      <c r="B164" s="2">
        <v>45019</v>
      </c>
      <c r="C164" s="1">
        <v>341.829986572265</v>
      </c>
      <c r="D164" s="1">
        <v>348.579986572265</v>
      </c>
      <c r="E164" s="1">
        <v>340.39999389648398</v>
      </c>
      <c r="F164" s="1">
        <v>348.27999877929602</v>
      </c>
      <c r="G164" s="1">
        <v>348.27999877929602</v>
      </c>
      <c r="H164" s="1">
        <v>4413700</v>
      </c>
      <c r="I164">
        <f t="shared" ca="1" si="8"/>
        <v>103.422857012067</v>
      </c>
      <c r="J164">
        <f t="shared" si="10"/>
        <v>-0.43930136231152855</v>
      </c>
      <c r="K164" t="str">
        <f t="shared" si="11"/>
        <v>Weak Move</v>
      </c>
      <c r="L164">
        <f t="shared" si="9"/>
        <v>0.68199669331190682</v>
      </c>
    </row>
    <row r="165" spans="1:12" x14ac:dyDescent="0.25">
      <c r="A165" s="1" t="s">
        <v>10</v>
      </c>
      <c r="B165" s="2">
        <v>45020</v>
      </c>
      <c r="C165" s="1">
        <v>348.489990234375</v>
      </c>
      <c r="D165" s="1">
        <v>349.79998779296801</v>
      </c>
      <c r="E165" s="1">
        <v>343.95001220703102</v>
      </c>
      <c r="F165" s="1">
        <v>346.75</v>
      </c>
      <c r="G165" s="1">
        <v>346.75</v>
      </c>
      <c r="H165" s="1">
        <v>3298100</v>
      </c>
      <c r="I165">
        <f t="shared" ca="1" si="8"/>
        <v>103.23000008719258</v>
      </c>
      <c r="J165">
        <f t="shared" si="10"/>
        <v>-1.2689239787988467</v>
      </c>
      <c r="K165" t="str">
        <f t="shared" si="11"/>
        <v>Weak Move</v>
      </c>
      <c r="L165">
        <f t="shared" si="9"/>
        <v>0.50961626168792618</v>
      </c>
    </row>
    <row r="166" spans="1:12" x14ac:dyDescent="0.25">
      <c r="A166" s="1" t="s">
        <v>10</v>
      </c>
      <c r="B166" s="2">
        <v>45021</v>
      </c>
      <c r="C166" s="1">
        <v>345.29998779296801</v>
      </c>
      <c r="D166" s="1">
        <v>345.42999267578102</v>
      </c>
      <c r="E166" s="1">
        <v>336.25</v>
      </c>
      <c r="F166" s="1">
        <v>342.350006103515</v>
      </c>
      <c r="G166" s="1">
        <v>342.350006103515</v>
      </c>
      <c r="H166" s="1">
        <v>4205500</v>
      </c>
      <c r="I166">
        <f t="shared" ca="1" si="8"/>
        <v>103.09571511404815</v>
      </c>
      <c r="J166">
        <f t="shared" si="10"/>
        <v>-0.88214385202518408</v>
      </c>
      <c r="K166" t="str">
        <f t="shared" si="11"/>
        <v>Strong Down</v>
      </c>
      <c r="L166">
        <f t="shared" si="9"/>
        <v>0.64982601756422598</v>
      </c>
    </row>
    <row r="167" spans="1:12" x14ac:dyDescent="0.25">
      <c r="A167" s="1" t="s">
        <v>10</v>
      </c>
      <c r="B167" s="2">
        <v>45022</v>
      </c>
      <c r="C167" s="1">
        <v>339.33999633789</v>
      </c>
      <c r="D167" s="1">
        <v>340.48001098632801</v>
      </c>
      <c r="E167" s="1">
        <v>332.63000488281199</v>
      </c>
      <c r="F167" s="1">
        <v>339.329986572265</v>
      </c>
      <c r="G167" s="1">
        <v>339.329986572265</v>
      </c>
      <c r="H167" s="1">
        <v>4660500</v>
      </c>
      <c r="I167">
        <f t="shared" ca="1" si="8"/>
        <v>103.36571502685514</v>
      </c>
      <c r="J167">
        <f t="shared" si="10"/>
        <v>-0.10019637265909385</v>
      </c>
      <c r="K167" t="str">
        <f t="shared" si="11"/>
        <v>Strong Down</v>
      </c>
      <c r="L167">
        <f t="shared" si="9"/>
        <v>0.72013176907812992</v>
      </c>
    </row>
    <row r="168" spans="1:12" x14ac:dyDescent="0.25">
      <c r="A168" s="1" t="s">
        <v>10</v>
      </c>
      <c r="B168" s="2">
        <v>45026</v>
      </c>
      <c r="C168" s="1">
        <v>335.26998901367102</v>
      </c>
      <c r="D168" s="1">
        <v>339.88000488281199</v>
      </c>
      <c r="E168" s="1">
        <v>333.35998535156199</v>
      </c>
      <c r="F168" s="1">
        <v>338.989990234375</v>
      </c>
      <c r="G168" s="1">
        <v>338.989990234375</v>
      </c>
      <c r="H168" s="1">
        <v>2657900</v>
      </c>
      <c r="I168">
        <f t="shared" ca="1" si="8"/>
        <v>104.44285801478757</v>
      </c>
      <c r="J168">
        <f t="shared" si="10"/>
        <v>-0.23009492957526673</v>
      </c>
      <c r="K168" t="str">
        <f t="shared" si="11"/>
        <v>Weak Move</v>
      </c>
      <c r="L168">
        <f t="shared" si="9"/>
        <v>0.41069375153583554</v>
      </c>
    </row>
    <row r="169" spans="1:12" x14ac:dyDescent="0.25">
      <c r="A169" s="1" t="s">
        <v>10</v>
      </c>
      <c r="B169" s="2">
        <v>45027</v>
      </c>
      <c r="C169" s="1">
        <v>343.45001220703102</v>
      </c>
      <c r="D169" s="1">
        <v>347.14001464843699</v>
      </c>
      <c r="E169" s="1">
        <v>337.64001464843699</v>
      </c>
      <c r="F169" s="1">
        <v>338.20999145507801</v>
      </c>
      <c r="G169" s="1">
        <v>338.20999145507801</v>
      </c>
      <c r="H169" s="1">
        <v>4044800</v>
      </c>
      <c r="I169">
        <f t="shared" ca="1" si="8"/>
        <v>105.16428593226814</v>
      </c>
      <c r="J169">
        <f t="shared" si="10"/>
        <v>-2.1229392558426694</v>
      </c>
      <c r="K169" t="str">
        <f t="shared" si="11"/>
        <v>Strong Down</v>
      </c>
      <c r="L169">
        <f t="shared" si="9"/>
        <v>0.62499495323832632</v>
      </c>
    </row>
    <row r="170" spans="1:12" x14ac:dyDescent="0.25">
      <c r="A170" s="1" t="s">
        <v>10</v>
      </c>
      <c r="B170" s="2">
        <v>45028</v>
      </c>
      <c r="C170" s="1">
        <v>340.80999755859301</v>
      </c>
      <c r="D170" s="1">
        <v>342.79998779296801</v>
      </c>
      <c r="E170" s="1">
        <v>330.04000854492102</v>
      </c>
      <c r="F170" s="1">
        <v>331.02999877929602</v>
      </c>
      <c r="G170" s="1">
        <v>331.02999877929602</v>
      </c>
      <c r="H170" s="1">
        <v>3965400</v>
      </c>
      <c r="I170">
        <f t="shared" ca="1" si="8"/>
        <v>105.85000065394786</v>
      </c>
      <c r="J170">
        <f t="shared" si="10"/>
        <v>4.5796464725293555</v>
      </c>
      <c r="K170" t="str">
        <f t="shared" si="11"/>
        <v>Weak Move</v>
      </c>
      <c r="L170">
        <f t="shared" si="9"/>
        <v>0.61272621330381205</v>
      </c>
    </row>
    <row r="171" spans="1:12" x14ac:dyDescent="0.25">
      <c r="A171" s="1" t="s">
        <v>10</v>
      </c>
      <c r="B171" s="2">
        <v>45029</v>
      </c>
      <c r="C171" s="1">
        <v>339.989990234375</v>
      </c>
      <c r="D171" s="1">
        <v>346.42999267578102</v>
      </c>
      <c r="E171" s="1">
        <v>338.75</v>
      </c>
      <c r="F171" s="1">
        <v>346.19000244140602</v>
      </c>
      <c r="G171" s="1">
        <v>346.19000244140602</v>
      </c>
      <c r="H171" s="1">
        <v>7406400</v>
      </c>
      <c r="I171">
        <f t="shared" ca="1" si="8"/>
        <v>106.02428654261972</v>
      </c>
      <c r="J171">
        <f t="shared" si="10"/>
        <v>-2.1837711965334967</v>
      </c>
      <c r="K171" t="str">
        <f t="shared" si="11"/>
        <v>Strong Down</v>
      </c>
      <c r="L171">
        <f t="shared" si="9"/>
        <v>1.14442311651116</v>
      </c>
    </row>
    <row r="172" spans="1:12" x14ac:dyDescent="0.25">
      <c r="A172" s="1" t="s">
        <v>10</v>
      </c>
      <c r="B172" s="2">
        <v>45030</v>
      </c>
      <c r="C172" s="1">
        <v>342.94000244140602</v>
      </c>
      <c r="D172" s="1">
        <v>344.850006103515</v>
      </c>
      <c r="E172" s="1">
        <v>336.41000366210898</v>
      </c>
      <c r="F172" s="1">
        <v>338.63000488281199</v>
      </c>
      <c r="G172" s="1">
        <v>338.63000488281199</v>
      </c>
      <c r="H172" s="1">
        <v>5350500</v>
      </c>
      <c r="I172">
        <f t="shared" ca="1" si="8"/>
        <v>106.492857796805</v>
      </c>
      <c r="J172">
        <f t="shared" si="10"/>
        <v>-1.7452687525886028</v>
      </c>
      <c r="K172" t="str">
        <f t="shared" si="11"/>
        <v>Weak Move</v>
      </c>
      <c r="L172">
        <f t="shared" si="9"/>
        <v>0.8267492823629512</v>
      </c>
    </row>
    <row r="173" spans="1:12" x14ac:dyDescent="0.25">
      <c r="A173" s="1" t="s">
        <v>10</v>
      </c>
      <c r="B173" s="2">
        <v>45033</v>
      </c>
      <c r="C173" s="1">
        <v>338</v>
      </c>
      <c r="D173" s="1">
        <v>338.39001464843699</v>
      </c>
      <c r="E173" s="1">
        <v>327.5</v>
      </c>
      <c r="F173" s="1">
        <v>332.72000122070301</v>
      </c>
      <c r="G173" s="1">
        <v>332.72000122070301</v>
      </c>
      <c r="H173" s="1">
        <v>6136000</v>
      </c>
      <c r="I173">
        <f t="shared" ca="1" si="8"/>
        <v>107.11285727364644</v>
      </c>
      <c r="J173">
        <f t="shared" si="10"/>
        <v>0.29454525809464066</v>
      </c>
      <c r="K173" t="str">
        <f t="shared" si="11"/>
        <v>Strong Up</v>
      </c>
      <c r="L173">
        <f t="shared" si="9"/>
        <v>0.94812327755893255</v>
      </c>
    </row>
    <row r="174" spans="1:12" x14ac:dyDescent="0.25">
      <c r="A174" s="1" t="s">
        <v>10</v>
      </c>
      <c r="B174" s="2">
        <v>45034</v>
      </c>
      <c r="C174" s="1">
        <v>335</v>
      </c>
      <c r="D174" s="1">
        <v>337.19000244140602</v>
      </c>
      <c r="E174" s="1">
        <v>330.5</v>
      </c>
      <c r="F174" s="1">
        <v>333.70001220703102</v>
      </c>
      <c r="G174" s="1">
        <v>333.70001220703102</v>
      </c>
      <c r="H174" s="1">
        <v>17944500</v>
      </c>
      <c r="I174">
        <f t="shared" ca="1" si="8"/>
        <v>107.32285744803256</v>
      </c>
      <c r="J174">
        <f t="shared" si="10"/>
        <v>-3.1705174416595705</v>
      </c>
      <c r="K174" t="str">
        <f t="shared" si="11"/>
        <v>Strong Down</v>
      </c>
      <c r="L174">
        <f t="shared" si="9"/>
        <v>2.7727506770137329</v>
      </c>
    </row>
    <row r="175" spans="1:12" x14ac:dyDescent="0.25">
      <c r="A175" s="1" t="s">
        <v>10</v>
      </c>
      <c r="B175" s="2">
        <v>45035</v>
      </c>
      <c r="C175" s="1">
        <v>324.20999145507801</v>
      </c>
      <c r="D175" s="1">
        <v>325.75</v>
      </c>
      <c r="E175" s="1">
        <v>316.100006103515</v>
      </c>
      <c r="F175" s="1">
        <v>323.11999511718699</v>
      </c>
      <c r="G175" s="1">
        <v>323.11999511718699</v>
      </c>
      <c r="H175" s="1">
        <v>22128300</v>
      </c>
      <c r="I175">
        <f t="shared" ca="1" si="8"/>
        <v>106.78285762241886</v>
      </c>
      <c r="J175">
        <f t="shared" si="10"/>
        <v>0.69014948626724437</v>
      </c>
      <c r="K175" t="str">
        <f t="shared" si="11"/>
        <v>Strong Up</v>
      </c>
      <c r="L175">
        <f t="shared" si="9"/>
        <v>3.4192236510442187</v>
      </c>
    </row>
    <row r="176" spans="1:12" x14ac:dyDescent="0.25">
      <c r="A176" s="1" t="s">
        <v>10</v>
      </c>
      <c r="B176" s="2">
        <v>45036</v>
      </c>
      <c r="C176" s="1">
        <v>320.39001464843699</v>
      </c>
      <c r="D176" s="1">
        <v>331.42999267578102</v>
      </c>
      <c r="E176" s="1">
        <v>318.329986572265</v>
      </c>
      <c r="F176" s="1">
        <v>325.350006103515</v>
      </c>
      <c r="G176" s="1">
        <v>325.350006103515</v>
      </c>
      <c r="H176" s="1">
        <v>9947800</v>
      </c>
      <c r="I176">
        <f t="shared" ca="1" si="8"/>
        <v>106.50714329310799</v>
      </c>
      <c r="J176">
        <f t="shared" si="10"/>
        <v>0.80836171307039595</v>
      </c>
      <c r="K176" t="str">
        <f t="shared" si="11"/>
        <v>Weak Move</v>
      </c>
      <c r="L176">
        <f t="shared" si="9"/>
        <v>1.5371155052967322</v>
      </c>
    </row>
    <row r="177" spans="1:12" x14ac:dyDescent="0.25">
      <c r="A177" s="1" t="s">
        <v>10</v>
      </c>
      <c r="B177" s="2">
        <v>45037</v>
      </c>
      <c r="C177" s="1">
        <v>323</v>
      </c>
      <c r="D177" s="1">
        <v>328.29000854492102</v>
      </c>
      <c r="E177" s="1">
        <v>319.5</v>
      </c>
      <c r="F177" s="1">
        <v>327.98001098632801</v>
      </c>
      <c r="G177" s="1">
        <v>327.98001098632801</v>
      </c>
      <c r="H177" s="1">
        <v>6348000</v>
      </c>
      <c r="I177">
        <f t="shared" ca="1" si="8"/>
        <v>106.47571454729314</v>
      </c>
      <c r="J177">
        <f t="shared" si="10"/>
        <v>0.3170857956298937</v>
      </c>
      <c r="K177" t="str">
        <f t="shared" si="11"/>
        <v>Weak Move</v>
      </c>
      <c r="L177">
        <f t="shared" si="9"/>
        <v>0.98088112222035584</v>
      </c>
    </row>
    <row r="178" spans="1:12" x14ac:dyDescent="0.25">
      <c r="A178" s="1" t="s">
        <v>10</v>
      </c>
      <c r="B178" s="2">
        <v>45040</v>
      </c>
      <c r="C178" s="1">
        <v>330.20001220703102</v>
      </c>
      <c r="D178" s="1">
        <v>334.66000366210898</v>
      </c>
      <c r="E178" s="1">
        <v>326.75</v>
      </c>
      <c r="F178" s="1">
        <v>329.01998901367102</v>
      </c>
      <c r="G178" s="1">
        <v>329.01998901367102</v>
      </c>
      <c r="H178" s="1">
        <v>5586600</v>
      </c>
      <c r="I178">
        <f t="shared" ca="1" si="8"/>
        <v>106.57428632463686</v>
      </c>
      <c r="J178">
        <f t="shared" si="10"/>
        <v>-1.9664462454389595</v>
      </c>
      <c r="K178" t="str">
        <f t="shared" si="11"/>
        <v>Weak Move</v>
      </c>
      <c r="L178">
        <f t="shared" si="9"/>
        <v>0.86323101408258351</v>
      </c>
    </row>
    <row r="179" spans="1:12" x14ac:dyDescent="0.25">
      <c r="A179" s="1" t="s">
        <v>10</v>
      </c>
      <c r="B179" s="2">
        <v>45041</v>
      </c>
      <c r="C179" s="1">
        <v>328.5</v>
      </c>
      <c r="D179" s="1">
        <v>328.66000366210898</v>
      </c>
      <c r="E179" s="1">
        <v>321.100006103515</v>
      </c>
      <c r="F179" s="1">
        <v>322.54998779296801</v>
      </c>
      <c r="G179" s="1">
        <v>322.54998779296801</v>
      </c>
      <c r="H179" s="1">
        <v>5426600</v>
      </c>
      <c r="I179">
        <f t="shared" ca="1" si="8"/>
        <v>106.37285723004972</v>
      </c>
      <c r="J179">
        <f t="shared" si="10"/>
        <v>-0.43403935807389776</v>
      </c>
      <c r="K179" t="str">
        <f t="shared" si="11"/>
        <v>Weak Move</v>
      </c>
      <c r="L179">
        <f t="shared" si="9"/>
        <v>0.83850811245132062</v>
      </c>
    </row>
    <row r="180" spans="1:12" x14ac:dyDescent="0.25">
      <c r="A180" s="1" t="s">
        <v>10</v>
      </c>
      <c r="B180" s="2">
        <v>45042</v>
      </c>
      <c r="C180" s="1">
        <v>321.35998535156199</v>
      </c>
      <c r="D180" s="1">
        <v>325.89999389648398</v>
      </c>
      <c r="E180" s="1">
        <v>320.47000122070301</v>
      </c>
      <c r="F180" s="1">
        <v>321.14999389648398</v>
      </c>
      <c r="G180" s="1">
        <v>321.14999389648398</v>
      </c>
      <c r="H180" s="1">
        <v>4623200</v>
      </c>
      <c r="I180">
        <f t="shared" ca="1" si="8"/>
        <v>105.68000030517528</v>
      </c>
      <c r="J180">
        <f t="shared" si="10"/>
        <v>1.4634944095767206</v>
      </c>
      <c r="K180" t="str">
        <f t="shared" si="11"/>
        <v>Weak Move</v>
      </c>
      <c r="L180">
        <f t="shared" si="9"/>
        <v>0.71436824263534171</v>
      </c>
    </row>
    <row r="181" spans="1:12" x14ac:dyDescent="0.25">
      <c r="A181" s="1" t="s">
        <v>10</v>
      </c>
      <c r="B181" s="2">
        <v>45043</v>
      </c>
      <c r="C181" s="1">
        <v>324.29998779296801</v>
      </c>
      <c r="D181" s="1">
        <v>327.45001220703102</v>
      </c>
      <c r="E181" s="1">
        <v>317.44000244140602</v>
      </c>
      <c r="F181" s="1">
        <v>325.850006103515</v>
      </c>
      <c r="G181" s="1">
        <v>325.850006103515</v>
      </c>
      <c r="H181" s="1">
        <v>5618800</v>
      </c>
      <c r="I181">
        <f t="shared" ca="1" si="8"/>
        <v>105.39857155936056</v>
      </c>
      <c r="J181">
        <f t="shared" si="10"/>
        <v>1.2521057222168368</v>
      </c>
      <c r="K181" t="str">
        <f t="shared" si="11"/>
        <v>Strong Up</v>
      </c>
      <c r="L181">
        <f t="shared" si="9"/>
        <v>0.86820649803587513</v>
      </c>
    </row>
    <row r="182" spans="1:12" x14ac:dyDescent="0.25">
      <c r="A182" s="1" t="s">
        <v>10</v>
      </c>
      <c r="B182" s="2">
        <v>45044</v>
      </c>
      <c r="C182" s="1">
        <v>325.239990234375</v>
      </c>
      <c r="D182" s="1">
        <v>330.80999755859301</v>
      </c>
      <c r="E182" s="1">
        <v>324</v>
      </c>
      <c r="F182" s="1">
        <v>329.92999267578102</v>
      </c>
      <c r="G182" s="1">
        <v>329.92999267578102</v>
      </c>
      <c r="H182" s="1">
        <v>4221900</v>
      </c>
      <c r="I182">
        <f t="shared" ca="1" si="8"/>
        <v>105.86285727364627</v>
      </c>
      <c r="J182">
        <f t="shared" si="10"/>
        <v>-1.7609789008492664</v>
      </c>
      <c r="K182" t="str">
        <f t="shared" si="11"/>
        <v>Weak Move</v>
      </c>
      <c r="L182">
        <f t="shared" si="9"/>
        <v>0.65236011498143043</v>
      </c>
    </row>
    <row r="183" spans="1:12" x14ac:dyDescent="0.25">
      <c r="A183" s="1" t="s">
        <v>10</v>
      </c>
      <c r="B183" s="2">
        <v>45047</v>
      </c>
      <c r="C183" s="1">
        <v>329.44000244140602</v>
      </c>
      <c r="D183" s="1">
        <v>331.23001098632801</v>
      </c>
      <c r="E183" s="1">
        <v>318.08999633789</v>
      </c>
      <c r="F183" s="1">
        <v>324.11999511718699</v>
      </c>
      <c r="G183" s="1">
        <v>324.11999511718699</v>
      </c>
      <c r="H183" s="1">
        <v>5341500</v>
      </c>
      <c r="I183">
        <f t="shared" ca="1" si="8"/>
        <v>106.32000078473729</v>
      </c>
      <c r="J183">
        <f t="shared" si="10"/>
        <v>-2.0270293172883589</v>
      </c>
      <c r="K183" t="str">
        <f t="shared" si="11"/>
        <v>Strong Down</v>
      </c>
      <c r="L183">
        <f t="shared" si="9"/>
        <v>0.82535861914619257</v>
      </c>
    </row>
    <row r="184" spans="1:12" x14ac:dyDescent="0.25">
      <c r="A184" s="1" t="s">
        <v>10</v>
      </c>
      <c r="B184" s="2">
        <v>45048</v>
      </c>
      <c r="C184" s="1">
        <v>325</v>
      </c>
      <c r="D184" s="1">
        <v>326.07000732421801</v>
      </c>
      <c r="E184" s="1">
        <v>315.61999511718699</v>
      </c>
      <c r="F184" s="1">
        <v>317.54998779296801</v>
      </c>
      <c r="G184" s="1">
        <v>317.54998779296801</v>
      </c>
      <c r="H184" s="1">
        <v>4318600</v>
      </c>
      <c r="I184">
        <f t="shared" ca="1" si="8"/>
        <v>106.57857186453643</v>
      </c>
      <c r="J184">
        <f t="shared" si="10"/>
        <v>0.55109433704054855</v>
      </c>
      <c r="K184" t="str">
        <f t="shared" si="11"/>
        <v>Weak Move</v>
      </c>
      <c r="L184">
        <f t="shared" si="9"/>
        <v>0.66730201865482497</v>
      </c>
    </row>
    <row r="185" spans="1:12" x14ac:dyDescent="0.25">
      <c r="A185" s="1" t="s">
        <v>10</v>
      </c>
      <c r="B185" s="2">
        <v>45049</v>
      </c>
      <c r="C185" s="1">
        <v>317.54998779296801</v>
      </c>
      <c r="D185" s="1">
        <v>324.61999511718699</v>
      </c>
      <c r="E185" s="1">
        <v>315.850006103515</v>
      </c>
      <c r="F185" s="1">
        <v>319.29998779296801</v>
      </c>
      <c r="G185" s="1">
        <v>319.29998779296801</v>
      </c>
      <c r="H185" s="1">
        <v>5064100</v>
      </c>
      <c r="I185">
        <f t="shared" ca="1" si="8"/>
        <v>106.58857182093985</v>
      </c>
      <c r="J185">
        <f t="shared" si="10"/>
        <v>0.46351739521131474</v>
      </c>
      <c r="K185" t="str">
        <f t="shared" si="11"/>
        <v>Strong Up</v>
      </c>
      <c r="L185">
        <f t="shared" si="9"/>
        <v>0.78249528844299054</v>
      </c>
    </row>
    <row r="186" spans="1:12" x14ac:dyDescent="0.25">
      <c r="A186" s="1" t="s">
        <v>10</v>
      </c>
      <c r="B186" s="2">
        <v>45050</v>
      </c>
      <c r="C186" s="1">
        <v>319.010009765625</v>
      </c>
      <c r="D186" s="1">
        <v>323.60998535156199</v>
      </c>
      <c r="E186" s="1">
        <v>317.95001220703102</v>
      </c>
      <c r="F186" s="1">
        <v>320.77999877929602</v>
      </c>
      <c r="G186" s="1">
        <v>320.77999877929602</v>
      </c>
      <c r="H186" s="1">
        <v>3879700</v>
      </c>
      <c r="I186">
        <f t="shared" ca="1" si="8"/>
        <v>106.49428667340929</v>
      </c>
      <c r="J186">
        <f t="shared" si="10"/>
        <v>0.61724889140961381</v>
      </c>
      <c r="K186" t="str">
        <f t="shared" si="11"/>
        <v>Weak Move</v>
      </c>
      <c r="L186">
        <f t="shared" si="9"/>
        <v>0.59948400911756694</v>
      </c>
    </row>
    <row r="187" spans="1:12" x14ac:dyDescent="0.25">
      <c r="A187" s="1" t="s">
        <v>10</v>
      </c>
      <c r="B187" s="2">
        <v>45051</v>
      </c>
      <c r="C187" s="1">
        <v>323.60998535156199</v>
      </c>
      <c r="D187" s="1">
        <v>324.14999389648398</v>
      </c>
      <c r="E187" s="1">
        <v>319.44000244140602</v>
      </c>
      <c r="F187" s="1">
        <v>322.760009765625</v>
      </c>
      <c r="G187" s="1">
        <v>322.760009765625</v>
      </c>
      <c r="H187" s="1">
        <v>3988600</v>
      </c>
      <c r="I187">
        <f t="shared" ca="1" si="8"/>
        <v>106.58000074114086</v>
      </c>
      <c r="J187">
        <f t="shared" si="10"/>
        <v>-66.526212155594749</v>
      </c>
      <c r="K187" t="str">
        <f t="shared" si="11"/>
        <v>Strong Down</v>
      </c>
      <c r="L187">
        <f t="shared" si="9"/>
        <v>0.61631103404034515</v>
      </c>
    </row>
    <row r="188" spans="1:12" x14ac:dyDescent="0.25">
      <c r="A188" s="1" t="s">
        <v>11</v>
      </c>
      <c r="B188" s="2">
        <v>44964</v>
      </c>
      <c r="C188" s="1">
        <v>103.629997253417</v>
      </c>
      <c r="D188" s="1">
        <v>108.669998168945</v>
      </c>
      <c r="E188" s="1">
        <v>103.54799652099599</v>
      </c>
      <c r="F188" s="1">
        <v>108.040000915527</v>
      </c>
      <c r="G188" s="1">
        <v>108.040000915527</v>
      </c>
      <c r="H188" s="1">
        <v>33738800</v>
      </c>
      <c r="I188">
        <f ca="1">AVERAGE(OFFSET(F188,60,0,-7))</f>
        <v>106.58000074114086</v>
      </c>
      <c r="J188">
        <f t="shared" si="10"/>
        <v>-7.441689047941809</v>
      </c>
      <c r="K188" t="str">
        <f t="shared" si="11"/>
        <v>Strong Down</v>
      </c>
      <c r="L188">
        <f>H188 / AVERAGE($H$188:$H$249)</f>
        <v>1.0980761880574585</v>
      </c>
    </row>
    <row r="189" spans="1:12" x14ac:dyDescent="0.25">
      <c r="A189" s="1" t="s">
        <v>11</v>
      </c>
      <c r="B189" s="2">
        <v>44965</v>
      </c>
      <c r="C189" s="1">
        <v>102.69000244140599</v>
      </c>
      <c r="D189" s="1">
        <v>103.58000183105401</v>
      </c>
      <c r="E189" s="1">
        <v>98.455001831054602</v>
      </c>
      <c r="F189" s="1">
        <v>100</v>
      </c>
      <c r="G189" s="1">
        <v>100</v>
      </c>
      <c r="H189" s="1">
        <v>73546000</v>
      </c>
      <c r="I189">
        <f t="shared" ref="I189:I197" ca="1" si="12">AVERAGE(OFFSET(F189,60,0,-7))</f>
        <v>106.83214351109056</v>
      </c>
      <c r="J189">
        <f t="shared" si="10"/>
        <v>-4.5400009155274006</v>
      </c>
      <c r="K189" t="str">
        <f t="shared" si="11"/>
        <v>Strong Down</v>
      </c>
      <c r="L189">
        <f t="shared" ref="L189:L249" si="13">H189 / AVERAGE($H$188:$H$249)</f>
        <v>2.3936568973073689</v>
      </c>
    </row>
    <row r="190" spans="1:12" x14ac:dyDescent="0.25">
      <c r="A190" s="1" t="s">
        <v>11</v>
      </c>
      <c r="B190" s="2">
        <v>44966</v>
      </c>
      <c r="C190" s="1">
        <v>100.540000915527</v>
      </c>
      <c r="D190" s="1">
        <v>100.61000061035099</v>
      </c>
      <c r="E190" s="1">
        <v>93.860000610351506</v>
      </c>
      <c r="F190" s="1">
        <v>95.459999084472599</v>
      </c>
      <c r="G190" s="1">
        <v>95.459999084472599</v>
      </c>
      <c r="H190" s="1">
        <v>97798600</v>
      </c>
      <c r="I190">
        <f t="shared" ca="1" si="12"/>
        <v>106.57583363850866</v>
      </c>
      <c r="J190">
        <f t="shared" si="10"/>
        <v>-0.62853391983605067</v>
      </c>
      <c r="K190" t="str">
        <f t="shared" si="11"/>
        <v>Strong Down</v>
      </c>
      <c r="L190">
        <f t="shared" si="13"/>
        <v>3.1829915078590871</v>
      </c>
    </row>
    <row r="191" spans="1:12" x14ac:dyDescent="0.25">
      <c r="A191" s="1" t="s">
        <v>11</v>
      </c>
      <c r="B191" s="2">
        <v>44967</v>
      </c>
      <c r="C191" s="1">
        <v>95.739997863769503</v>
      </c>
      <c r="D191" s="1">
        <v>97.019996643066406</v>
      </c>
      <c r="E191" s="1">
        <v>94.529998779296804</v>
      </c>
      <c r="F191" s="1">
        <v>94.860000610351506</v>
      </c>
      <c r="G191" s="1">
        <v>94.860000610351506</v>
      </c>
      <c r="H191" s="1">
        <v>49325300</v>
      </c>
      <c r="I191">
        <f t="shared" ca="1" si="12"/>
        <v>106.24700012206981</v>
      </c>
      <c r="J191">
        <f t="shared" si="10"/>
        <v>0.14758527171379446</v>
      </c>
      <c r="K191" t="str">
        <f t="shared" si="11"/>
        <v>Weak Move</v>
      </c>
      <c r="L191">
        <f t="shared" si="13"/>
        <v>1.6053605166393163</v>
      </c>
    </row>
    <row r="192" spans="1:12" x14ac:dyDescent="0.25">
      <c r="A192" s="1" t="s">
        <v>11</v>
      </c>
      <c r="B192" s="2">
        <v>44970</v>
      </c>
      <c r="C192" s="1">
        <v>95.010002136230398</v>
      </c>
      <c r="D192" s="1">
        <v>95.349998474121094</v>
      </c>
      <c r="E192" s="1">
        <v>94.050003051757798</v>
      </c>
      <c r="F192" s="1">
        <v>95</v>
      </c>
      <c r="G192" s="1">
        <v>95</v>
      </c>
      <c r="H192" s="1">
        <v>43116600</v>
      </c>
      <c r="I192">
        <f t="shared" ca="1" si="12"/>
        <v>105.88125038146926</v>
      </c>
      <c r="J192">
        <f t="shared" si="10"/>
        <v>-5.2634791324102904E-2</v>
      </c>
      <c r="K192" t="str">
        <f t="shared" si="11"/>
        <v>Weak Move</v>
      </c>
      <c r="L192">
        <f t="shared" si="13"/>
        <v>1.4032897367422144</v>
      </c>
    </row>
    <row r="193" spans="1:12" x14ac:dyDescent="0.25">
      <c r="A193" s="1" t="s">
        <v>11</v>
      </c>
      <c r="B193" s="2">
        <v>44971</v>
      </c>
      <c r="C193" s="1">
        <v>94.660003662109304</v>
      </c>
      <c r="D193" s="1">
        <v>95.175003051757798</v>
      </c>
      <c r="E193" s="1">
        <v>92.650001525878906</v>
      </c>
      <c r="F193" s="1">
        <v>94.949996948242102</v>
      </c>
      <c r="G193" s="1">
        <v>94.949996948242102</v>
      </c>
      <c r="H193" s="1">
        <v>42513100</v>
      </c>
      <c r="I193">
        <f t="shared" ca="1" si="12"/>
        <v>105.84833272298134</v>
      </c>
      <c r="J193">
        <f t="shared" si="10"/>
        <v>2.2643513375266058</v>
      </c>
      <c r="K193" t="str">
        <f t="shared" si="11"/>
        <v>Weak Move</v>
      </c>
      <c r="L193">
        <f t="shared" si="13"/>
        <v>1.3836479895700364</v>
      </c>
    </row>
    <row r="194" spans="1:12" x14ac:dyDescent="0.25">
      <c r="A194" s="1" t="s">
        <v>11</v>
      </c>
      <c r="B194" s="2">
        <v>44972</v>
      </c>
      <c r="C194" s="1">
        <v>94.739997863769503</v>
      </c>
      <c r="D194" s="1">
        <v>97.339996337890597</v>
      </c>
      <c r="E194" s="1">
        <v>94.360000610351506</v>
      </c>
      <c r="F194" s="1">
        <v>97.099998474121094</v>
      </c>
      <c r="G194" s="1">
        <v>97.099998474121094</v>
      </c>
      <c r="H194" s="1">
        <v>36964500</v>
      </c>
      <c r="I194">
        <f t="shared" ca="1" si="12"/>
        <v>105.712497711181</v>
      </c>
      <c r="J194">
        <f t="shared" si="10"/>
        <v>-1.3594229820467953</v>
      </c>
      <c r="K194" t="str">
        <f t="shared" si="11"/>
        <v>Weak Move</v>
      </c>
      <c r="L194">
        <f t="shared" si="13"/>
        <v>1.2030610825948145</v>
      </c>
    </row>
    <row r="195" spans="1:12" x14ac:dyDescent="0.25">
      <c r="A195" s="1" t="s">
        <v>11</v>
      </c>
      <c r="B195" s="2">
        <v>44973</v>
      </c>
      <c r="C195" s="1">
        <v>95.540000915527301</v>
      </c>
      <c r="D195" s="1">
        <v>97.879997253417898</v>
      </c>
      <c r="E195" s="1">
        <v>94.970001220703097</v>
      </c>
      <c r="F195" s="1">
        <v>95.779998779296804</v>
      </c>
      <c r="G195" s="1">
        <v>95.779998779296804</v>
      </c>
      <c r="H195" s="1">
        <v>35642100</v>
      </c>
      <c r="I195">
        <f t="shared" ca="1" si="12"/>
        <v>106.21499633789</v>
      </c>
      <c r="J195">
        <f t="shared" ref="J195:J249" si="14">IF(ROW()=2, "", (F196-F195)/F195*100)</f>
        <v>-1.2424331348638842</v>
      </c>
      <c r="K195" t="str">
        <f t="shared" si="11"/>
        <v>Weak Move</v>
      </c>
      <c r="L195">
        <f t="shared" si="13"/>
        <v>1.1600217346901118</v>
      </c>
    </row>
    <row r="196" spans="1:12" x14ac:dyDescent="0.25">
      <c r="A196" s="1" t="s">
        <v>11</v>
      </c>
      <c r="B196" s="2">
        <v>44974</v>
      </c>
      <c r="C196" s="1">
        <v>95.069999694824205</v>
      </c>
      <c r="D196" s="1">
        <v>95.75</v>
      </c>
      <c r="E196" s="1">
        <v>93.449996948242102</v>
      </c>
      <c r="F196" s="1">
        <v>94.589996337890597</v>
      </c>
      <c r="G196" s="1">
        <v>94.589996337890597</v>
      </c>
      <c r="H196" s="1">
        <v>31095100</v>
      </c>
      <c r="I196">
        <f>IF(COUNTA(F196:F202)=7, AVERAGE(F196:F202), "")</f>
        <v>91.32285744803292</v>
      </c>
      <c r="J196">
        <f t="shared" si="14"/>
        <v>-2.6852662908026086</v>
      </c>
      <c r="K196" t="str">
        <f t="shared" ref="K196:K249" si="15">IF(AND(J196&gt; 0, H196 &gt; H195), "Strong Up",
 IF(AND(J196 &lt; 0, H196 &gt; H195), "Strong Down", "Weak Move"))</f>
        <v>Weak Move</v>
      </c>
      <c r="L196">
        <f t="shared" si="13"/>
        <v>1.0120332932785245</v>
      </c>
    </row>
    <row r="197" spans="1:12" x14ac:dyDescent="0.25">
      <c r="A197" s="1" t="s">
        <v>11</v>
      </c>
      <c r="B197" s="2">
        <v>44978</v>
      </c>
      <c r="C197" s="1">
        <v>93.239997863769503</v>
      </c>
      <c r="D197" s="1">
        <v>93.415000915527301</v>
      </c>
      <c r="E197" s="1">
        <v>92</v>
      </c>
      <c r="F197" s="1">
        <v>92.050003051757798</v>
      </c>
      <c r="G197" s="1">
        <v>92.050003051757798</v>
      </c>
      <c r="H197" s="1">
        <v>28367200</v>
      </c>
      <c r="I197">
        <f t="shared" ref="I197:I249" si="16">IF(COUNTA(F197:F203)=7, AVERAGE(F197:F203), "")</f>
        <v>90.740001133510006</v>
      </c>
      <c r="J197">
        <f t="shared" si="14"/>
        <v>-0.27159151734023323</v>
      </c>
      <c r="K197" t="str">
        <f t="shared" si="15"/>
        <v>Weak Move</v>
      </c>
      <c r="L197">
        <f t="shared" si="13"/>
        <v>0.92324999234897331</v>
      </c>
    </row>
    <row r="198" spans="1:12" x14ac:dyDescent="0.25">
      <c r="A198" s="1" t="s">
        <v>11</v>
      </c>
      <c r="B198" s="2">
        <v>44979</v>
      </c>
      <c r="C198" s="1">
        <v>91.933998107910099</v>
      </c>
      <c r="D198" s="1">
        <v>92.360000610351506</v>
      </c>
      <c r="E198" s="1">
        <v>90.870002746582003</v>
      </c>
      <c r="F198" s="1">
        <v>91.800003051757798</v>
      </c>
      <c r="G198" s="1">
        <v>91.800003051757798</v>
      </c>
      <c r="H198" s="1">
        <v>29891100</v>
      </c>
      <c r="I198">
        <f t="shared" si="16"/>
        <v>90.777143205915152</v>
      </c>
      <c r="J198">
        <f t="shared" si="14"/>
        <v>-0.7952106020323445</v>
      </c>
      <c r="K198" t="str">
        <f t="shared" si="15"/>
        <v>Strong Down</v>
      </c>
      <c r="L198">
        <f t="shared" si="13"/>
        <v>0.97284743810818108</v>
      </c>
    </row>
    <row r="199" spans="1:12" x14ac:dyDescent="0.25">
      <c r="A199" s="1" t="s">
        <v>11</v>
      </c>
      <c r="B199" s="2">
        <v>44980</v>
      </c>
      <c r="C199" s="1">
        <v>92.129997253417898</v>
      </c>
      <c r="D199" s="1">
        <v>92.129997253417898</v>
      </c>
      <c r="E199" s="1">
        <v>90.010002136230398</v>
      </c>
      <c r="F199" s="1">
        <v>91.069999694824205</v>
      </c>
      <c r="G199" s="1">
        <v>91.069999694824205</v>
      </c>
      <c r="H199" s="1">
        <v>32423700</v>
      </c>
      <c r="I199">
        <f t="shared" si="16"/>
        <v>91.09428514753067</v>
      </c>
      <c r="J199">
        <f t="shared" si="14"/>
        <v>-1.8886584237035677</v>
      </c>
      <c r="K199" t="str">
        <f t="shared" si="15"/>
        <v>Strong Down</v>
      </c>
      <c r="L199">
        <f t="shared" si="13"/>
        <v>1.0552744288095197</v>
      </c>
    </row>
    <row r="200" spans="1:12" x14ac:dyDescent="0.25">
      <c r="A200" s="1" t="s">
        <v>11</v>
      </c>
      <c r="B200" s="2">
        <v>44981</v>
      </c>
      <c r="C200" s="1">
        <v>89.629997253417898</v>
      </c>
      <c r="D200" s="1">
        <v>90.129997253417898</v>
      </c>
      <c r="E200" s="1">
        <v>88.860000610351506</v>
      </c>
      <c r="F200" s="1">
        <v>89.349998474121094</v>
      </c>
      <c r="G200" s="1">
        <v>89.349998474121094</v>
      </c>
      <c r="H200" s="1">
        <v>31295600</v>
      </c>
      <c r="I200">
        <f t="shared" si="16"/>
        <v>91.738571166992159</v>
      </c>
      <c r="J200">
        <f t="shared" si="14"/>
        <v>0.83939564947751666</v>
      </c>
      <c r="K200" t="str">
        <f t="shared" si="15"/>
        <v>Weak Move</v>
      </c>
      <c r="L200">
        <f t="shared" si="13"/>
        <v>1.018558844741692</v>
      </c>
    </row>
    <row r="201" spans="1:12" x14ac:dyDescent="0.25">
      <c r="A201" s="1" t="s">
        <v>11</v>
      </c>
      <c r="B201" s="2">
        <v>44984</v>
      </c>
      <c r="C201" s="1">
        <v>90.089996337890597</v>
      </c>
      <c r="D201" s="1">
        <v>90.449996948242102</v>
      </c>
      <c r="E201" s="1">
        <v>89.610000610351506</v>
      </c>
      <c r="F201" s="1">
        <v>90.099998474121094</v>
      </c>
      <c r="G201" s="1">
        <v>90.099998474121094</v>
      </c>
      <c r="H201" s="1">
        <v>22724300</v>
      </c>
      <c r="I201">
        <f t="shared" si="16"/>
        <v>92.427142551967037</v>
      </c>
      <c r="J201">
        <f t="shared" si="14"/>
        <v>0.22198066706310846</v>
      </c>
      <c r="K201" t="str">
        <f t="shared" si="15"/>
        <v>Weak Move</v>
      </c>
      <c r="L201">
        <f t="shared" si="13"/>
        <v>0.73959396067062566</v>
      </c>
    </row>
    <row r="202" spans="1:12" x14ac:dyDescent="0.25">
      <c r="A202" s="1" t="s">
        <v>11</v>
      </c>
      <c r="B202" s="2">
        <v>44985</v>
      </c>
      <c r="C202" s="1">
        <v>89.540000915527301</v>
      </c>
      <c r="D202" s="1">
        <v>91.449996948242102</v>
      </c>
      <c r="E202" s="1">
        <v>89.519996643066406</v>
      </c>
      <c r="F202" s="1">
        <v>90.300003051757798</v>
      </c>
      <c r="G202" s="1">
        <v>90.300003051757798</v>
      </c>
      <c r="H202" s="1">
        <v>30546900</v>
      </c>
      <c r="I202">
        <f t="shared" si="16"/>
        <v>93.077142987932447</v>
      </c>
      <c r="J202">
        <f t="shared" si="14"/>
        <v>0.23255711780234709</v>
      </c>
      <c r="K202" t="str">
        <f t="shared" si="15"/>
        <v>Strong Up</v>
      </c>
      <c r="L202">
        <f t="shared" si="13"/>
        <v>0.99419136154731003</v>
      </c>
    </row>
    <row r="203" spans="1:12" x14ac:dyDescent="0.25">
      <c r="A203" s="1" t="s">
        <v>11</v>
      </c>
      <c r="B203" s="2">
        <v>44986</v>
      </c>
      <c r="C203" s="1">
        <v>90.160003662109304</v>
      </c>
      <c r="D203" s="1">
        <v>91.199996948242102</v>
      </c>
      <c r="E203" s="1">
        <v>89.849998474121094</v>
      </c>
      <c r="F203" s="1">
        <v>90.510002136230398</v>
      </c>
      <c r="G203" s="1">
        <v>90.510002136230398</v>
      </c>
      <c r="H203" s="1">
        <v>26323900</v>
      </c>
      <c r="I203">
        <f t="shared" si="16"/>
        <v>93.414285932268371</v>
      </c>
      <c r="J203">
        <f t="shared" si="14"/>
        <v>1.9887254224721449</v>
      </c>
      <c r="K203" t="str">
        <f t="shared" si="15"/>
        <v>Weak Move</v>
      </c>
      <c r="L203">
        <f t="shared" si="13"/>
        <v>0.85674795092907086</v>
      </c>
    </row>
    <row r="204" spans="1:12" x14ac:dyDescent="0.25">
      <c r="A204" s="1" t="s">
        <v>11</v>
      </c>
      <c r="B204" s="2">
        <v>44987</v>
      </c>
      <c r="C204" s="1">
        <v>89.860000610351506</v>
      </c>
      <c r="D204" s="1">
        <v>92.480003356933594</v>
      </c>
      <c r="E204" s="1">
        <v>89.769996643066406</v>
      </c>
      <c r="F204" s="1">
        <v>92.309997558593693</v>
      </c>
      <c r="G204" s="1">
        <v>92.309997558593693</v>
      </c>
      <c r="H204" s="1">
        <v>23328600</v>
      </c>
      <c r="I204">
        <f t="shared" si="16"/>
        <v>93.48571450369694</v>
      </c>
      <c r="J204">
        <f t="shared" si="14"/>
        <v>1.8524527458548494</v>
      </c>
      <c r="K204" t="str">
        <f t="shared" si="15"/>
        <v>Weak Move</v>
      </c>
      <c r="L204">
        <f t="shared" si="13"/>
        <v>0.75926174495587362</v>
      </c>
    </row>
    <row r="205" spans="1:12" x14ac:dyDescent="0.25">
      <c r="A205" s="1" t="s">
        <v>11</v>
      </c>
      <c r="B205" s="2">
        <v>44988</v>
      </c>
      <c r="C205" s="1">
        <v>92.739997863769503</v>
      </c>
      <c r="D205" s="1">
        <v>94.110000610351506</v>
      </c>
      <c r="E205" s="1">
        <v>92.660003662109304</v>
      </c>
      <c r="F205" s="1">
        <v>94.019996643066406</v>
      </c>
      <c r="G205" s="1">
        <v>94.019996643066406</v>
      </c>
      <c r="H205" s="1">
        <v>30242500</v>
      </c>
      <c r="I205">
        <f t="shared" si="16"/>
        <v>93.392858232770593</v>
      </c>
      <c r="J205">
        <f t="shared" si="14"/>
        <v>1.6592270194504841</v>
      </c>
      <c r="K205" t="str">
        <f t="shared" si="15"/>
        <v>Strong Up</v>
      </c>
      <c r="L205">
        <f t="shared" si="13"/>
        <v>0.98428424002417669</v>
      </c>
    </row>
    <row r="206" spans="1:12" x14ac:dyDescent="0.25">
      <c r="A206" s="1" t="s">
        <v>11</v>
      </c>
      <c r="B206" s="2">
        <v>44991</v>
      </c>
      <c r="C206" s="1">
        <v>94.360000610351506</v>
      </c>
      <c r="D206" s="1">
        <v>96.300003051757798</v>
      </c>
      <c r="E206" s="1">
        <v>94.300003051757798</v>
      </c>
      <c r="F206" s="1">
        <v>95.580001831054602</v>
      </c>
      <c r="G206" s="1">
        <v>95.580001831054602</v>
      </c>
      <c r="H206" s="1">
        <v>28288200</v>
      </c>
      <c r="I206">
        <f t="shared" si="16"/>
        <v>93.425715855189679</v>
      </c>
      <c r="J206">
        <f t="shared" si="14"/>
        <v>-1.4752078207757306</v>
      </c>
      <c r="K206" t="str">
        <f t="shared" si="15"/>
        <v>Weak Move</v>
      </c>
      <c r="L206">
        <f t="shared" si="13"/>
        <v>0.9206788274333112</v>
      </c>
    </row>
    <row r="207" spans="1:12" x14ac:dyDescent="0.25">
      <c r="A207" s="1" t="s">
        <v>11</v>
      </c>
      <c r="B207" s="2">
        <v>44992</v>
      </c>
      <c r="C207" s="1">
        <v>95.419998168945298</v>
      </c>
      <c r="D207" s="1">
        <v>96.089996337890597</v>
      </c>
      <c r="E207" s="1">
        <v>93.844001770019503</v>
      </c>
      <c r="F207" s="1">
        <v>94.169998168945298</v>
      </c>
      <c r="G207" s="1">
        <v>94.169998168945298</v>
      </c>
      <c r="H207" s="1">
        <v>24101500</v>
      </c>
      <c r="I207">
        <f t="shared" si="16"/>
        <v>93.564287458147291</v>
      </c>
      <c r="J207">
        <f t="shared" si="14"/>
        <v>0.50972004488357314</v>
      </c>
      <c r="K207" t="str">
        <f t="shared" si="15"/>
        <v>Weak Move</v>
      </c>
      <c r="L207">
        <f t="shared" si="13"/>
        <v>0.78441685082062307</v>
      </c>
    </row>
    <row r="208" spans="1:12" x14ac:dyDescent="0.25">
      <c r="A208" s="1" t="s">
        <v>11</v>
      </c>
      <c r="B208" s="2">
        <v>44993</v>
      </c>
      <c r="C208" s="1">
        <v>94.404998779296804</v>
      </c>
      <c r="D208" s="1">
        <v>96.239997863769503</v>
      </c>
      <c r="E208" s="1">
        <v>94.404998779296804</v>
      </c>
      <c r="F208" s="1">
        <v>94.650001525878906</v>
      </c>
      <c r="G208" s="1">
        <v>94.650001525878906</v>
      </c>
      <c r="H208" s="1">
        <v>25395200</v>
      </c>
      <c r="I208">
        <f t="shared" si="16"/>
        <v>94.550001961844245</v>
      </c>
      <c r="J208">
        <f t="shared" si="14"/>
        <v>-2.1024805406109826</v>
      </c>
      <c r="K208" t="str">
        <f t="shared" si="15"/>
        <v>Strong Down</v>
      </c>
      <c r="L208">
        <f t="shared" si="13"/>
        <v>0.82652211729393965</v>
      </c>
    </row>
    <row r="209" spans="1:12" x14ac:dyDescent="0.25">
      <c r="A209" s="1" t="s">
        <v>11</v>
      </c>
      <c r="B209" s="2">
        <v>44994</v>
      </c>
      <c r="C209" s="1">
        <v>94.489997863769503</v>
      </c>
      <c r="D209" s="1">
        <v>95.919998168945298</v>
      </c>
      <c r="E209" s="1">
        <v>92.355003356933594</v>
      </c>
      <c r="F209" s="1">
        <v>92.660003662109304</v>
      </c>
      <c r="G209" s="1">
        <v>92.660003662109304</v>
      </c>
      <c r="H209" s="1">
        <v>24438900</v>
      </c>
      <c r="I209">
        <f t="shared" si="16"/>
        <v>95.665715898786104</v>
      </c>
      <c r="J209">
        <f t="shared" si="14"/>
        <v>-1.7807052241177797</v>
      </c>
      <c r="K209" t="str">
        <f t="shared" si="15"/>
        <v>Weak Move</v>
      </c>
      <c r="L209">
        <f t="shared" si="13"/>
        <v>0.79539800325789378</v>
      </c>
    </row>
    <row r="210" spans="1:12" x14ac:dyDescent="0.25">
      <c r="A210" s="1" t="s">
        <v>11</v>
      </c>
      <c r="B210" s="2">
        <v>44995</v>
      </c>
      <c r="C210" s="1">
        <v>92.5</v>
      </c>
      <c r="D210" s="1">
        <v>93.180000305175696</v>
      </c>
      <c r="E210" s="1">
        <v>90.800003051757798</v>
      </c>
      <c r="F210" s="1">
        <v>91.010002136230398</v>
      </c>
      <c r="G210" s="1">
        <v>91.010002136230398</v>
      </c>
      <c r="H210" s="1">
        <v>32850100</v>
      </c>
      <c r="I210">
        <f t="shared" si="16"/>
        <v>96.990001133509779</v>
      </c>
      <c r="J210">
        <f t="shared" si="14"/>
        <v>0.71420888981623865</v>
      </c>
      <c r="K210" t="str">
        <f t="shared" si="15"/>
        <v>Strong Up</v>
      </c>
      <c r="L210">
        <f t="shared" si="13"/>
        <v>1.0691522100758273</v>
      </c>
    </row>
    <row r="211" spans="1:12" x14ac:dyDescent="0.25">
      <c r="A211" s="1" t="s">
        <v>11</v>
      </c>
      <c r="B211" s="2">
        <v>44998</v>
      </c>
      <c r="C211" s="1">
        <v>90.565002441406193</v>
      </c>
      <c r="D211" s="1">
        <v>93.080001831054602</v>
      </c>
      <c r="E211" s="1">
        <v>89.940002441406193</v>
      </c>
      <c r="F211" s="1">
        <v>91.660003662109304</v>
      </c>
      <c r="G211" s="1">
        <v>91.660003662109304</v>
      </c>
      <c r="H211" s="1">
        <v>31508600</v>
      </c>
      <c r="I211">
        <f t="shared" si="16"/>
        <v>99.108571733746885</v>
      </c>
      <c r="J211">
        <f t="shared" si="14"/>
        <v>2.8256559397906251</v>
      </c>
      <c r="K211" t="str">
        <f t="shared" si="15"/>
        <v>Weak Move</v>
      </c>
      <c r="L211">
        <f t="shared" si="13"/>
        <v>1.0254912260965785</v>
      </c>
    </row>
    <row r="212" spans="1:12" x14ac:dyDescent="0.25">
      <c r="A212" s="1" t="s">
        <v>11</v>
      </c>
      <c r="B212" s="2">
        <v>44999</v>
      </c>
      <c r="C212" s="1">
        <v>93.069999694824205</v>
      </c>
      <c r="D212" s="1">
        <v>94.830001831054602</v>
      </c>
      <c r="E212" s="1">
        <v>92.779998779296804</v>
      </c>
      <c r="F212" s="1">
        <v>94.25</v>
      </c>
      <c r="G212" s="1">
        <v>94.25</v>
      </c>
      <c r="H212" s="1">
        <v>32303900</v>
      </c>
      <c r="I212">
        <f t="shared" si="16"/>
        <v>100.90285709926026</v>
      </c>
      <c r="J212">
        <f t="shared" si="14"/>
        <v>2.4403215403265763</v>
      </c>
      <c r="K212" t="str">
        <f t="shared" si="15"/>
        <v>Strong Up</v>
      </c>
      <c r="L212">
        <f t="shared" si="13"/>
        <v>1.0513753711272877</v>
      </c>
    </row>
    <row r="213" spans="1:12" x14ac:dyDescent="0.25">
      <c r="A213" s="1" t="s">
        <v>11</v>
      </c>
      <c r="B213" s="2">
        <v>45000</v>
      </c>
      <c r="C213" s="1">
        <v>93.540000915527301</v>
      </c>
      <c r="D213" s="1">
        <v>97.25</v>
      </c>
      <c r="E213" s="1">
        <v>93.040000915527301</v>
      </c>
      <c r="F213" s="1">
        <v>96.550003051757798</v>
      </c>
      <c r="G213" s="1">
        <v>96.550003051757798</v>
      </c>
      <c r="H213" s="1">
        <v>38367300</v>
      </c>
      <c r="I213">
        <f t="shared" si="16"/>
        <v>102.61857169015025</v>
      </c>
      <c r="J213">
        <f t="shared" si="14"/>
        <v>4.6815085450004199</v>
      </c>
      <c r="K213" t="str">
        <f t="shared" si="15"/>
        <v>Strong Up</v>
      </c>
      <c r="L213">
        <f t="shared" si="13"/>
        <v>1.2487171603630518</v>
      </c>
    </row>
    <row r="214" spans="1:12" x14ac:dyDescent="0.25">
      <c r="A214" s="1" t="s">
        <v>11</v>
      </c>
      <c r="B214" s="2">
        <v>45001</v>
      </c>
      <c r="C214" s="1">
        <v>96.569999694824205</v>
      </c>
      <c r="D214" s="1">
        <v>101.970001220703</v>
      </c>
      <c r="E214" s="1">
        <v>95.870002746582003</v>
      </c>
      <c r="F214" s="1">
        <v>101.06999969482401</v>
      </c>
      <c r="G214" s="1">
        <v>101.06999969482401</v>
      </c>
      <c r="H214" s="1">
        <v>54499500</v>
      </c>
      <c r="I214">
        <f t="shared" si="16"/>
        <v>103.97714233398385</v>
      </c>
      <c r="J214">
        <f t="shared" si="14"/>
        <v>1.375283856579631</v>
      </c>
      <c r="K214" t="str">
        <f t="shared" si="15"/>
        <v>Strong Up</v>
      </c>
      <c r="L214">
        <f t="shared" si="13"/>
        <v>1.7737620546977801</v>
      </c>
    </row>
    <row r="215" spans="1:12" x14ac:dyDescent="0.25">
      <c r="A215" s="1" t="s">
        <v>11</v>
      </c>
      <c r="B215" s="2">
        <v>45002</v>
      </c>
      <c r="C215" s="1">
        <v>100.83999633789</v>
      </c>
      <c r="D215" s="1">
        <v>103.48999786376901</v>
      </c>
      <c r="E215" s="1">
        <v>100.75</v>
      </c>
      <c r="F215" s="1">
        <v>102.459999084472</v>
      </c>
      <c r="G215" s="1">
        <v>102.459999084472</v>
      </c>
      <c r="H215" s="1">
        <v>76140300</v>
      </c>
      <c r="I215">
        <f t="shared" si="16"/>
        <v>104.26142774309371</v>
      </c>
      <c r="J215">
        <f t="shared" si="14"/>
        <v>-0.51727384738706794</v>
      </c>
      <c r="K215" t="str">
        <f t="shared" si="15"/>
        <v>Strong Down</v>
      </c>
      <c r="L215">
        <f t="shared" si="13"/>
        <v>2.4780920003542306</v>
      </c>
    </row>
    <row r="216" spans="1:12" x14ac:dyDescent="0.25">
      <c r="A216" s="1" t="s">
        <v>11</v>
      </c>
      <c r="B216" s="2">
        <v>45005</v>
      </c>
      <c r="C216" s="1">
        <v>101.059997558593</v>
      </c>
      <c r="D216" s="1">
        <v>102.58000183105401</v>
      </c>
      <c r="E216" s="1">
        <v>100.790000915527</v>
      </c>
      <c r="F216" s="1">
        <v>101.930000305175</v>
      </c>
      <c r="G216" s="1">
        <v>101.930000305175</v>
      </c>
      <c r="H216" s="1">
        <v>26033900</v>
      </c>
      <c r="I216">
        <f t="shared" si="16"/>
        <v>104.10428510393356</v>
      </c>
      <c r="J216">
        <f t="shared" si="14"/>
        <v>3.8359619552718565</v>
      </c>
      <c r="K216" t="str">
        <f t="shared" si="15"/>
        <v>Weak Move</v>
      </c>
      <c r="L216">
        <f t="shared" si="13"/>
        <v>0.84730949744119743</v>
      </c>
    </row>
    <row r="217" spans="1:12" x14ac:dyDescent="0.25">
      <c r="A217" s="1" t="s">
        <v>11</v>
      </c>
      <c r="B217" s="2">
        <v>45006</v>
      </c>
      <c r="C217" s="1">
        <v>101.980003356933</v>
      </c>
      <c r="D217" s="1">
        <v>105.959999084472</v>
      </c>
      <c r="E217" s="1">
        <v>101.86000061035099</v>
      </c>
      <c r="F217" s="1">
        <v>105.83999633789</v>
      </c>
      <c r="G217" s="1">
        <v>105.83999633789</v>
      </c>
      <c r="H217" s="1">
        <v>33122800</v>
      </c>
      <c r="I217">
        <f t="shared" si="16"/>
        <v>104.09999956403399</v>
      </c>
      <c r="J217">
        <f t="shared" si="14"/>
        <v>-1.5306076844666852</v>
      </c>
      <c r="K217" t="str">
        <f t="shared" si="15"/>
        <v>Strong Down</v>
      </c>
      <c r="L217">
        <f t="shared" si="13"/>
        <v>1.078027610993562</v>
      </c>
    </row>
    <row r="218" spans="1:12" x14ac:dyDescent="0.25">
      <c r="A218" s="1" t="s">
        <v>11</v>
      </c>
      <c r="B218" s="2">
        <v>45007</v>
      </c>
      <c r="C218" s="1">
        <v>105.139999389648</v>
      </c>
      <c r="D218" s="1">
        <v>107.51000213623</v>
      </c>
      <c r="E218" s="1">
        <v>104.209999084472</v>
      </c>
      <c r="F218" s="1">
        <v>104.220001220703</v>
      </c>
      <c r="G218" s="1">
        <v>104.220001220703</v>
      </c>
      <c r="H218" s="1">
        <v>32336900</v>
      </c>
      <c r="I218">
        <f t="shared" si="16"/>
        <v>103.45428575788171</v>
      </c>
      <c r="J218">
        <f t="shared" si="14"/>
        <v>1.9573986678497204</v>
      </c>
      <c r="K218" t="str">
        <f t="shared" si="15"/>
        <v>Weak Move</v>
      </c>
      <c r="L218">
        <f t="shared" si="13"/>
        <v>1.052449402041425</v>
      </c>
    </row>
    <row r="219" spans="1:12" x14ac:dyDescent="0.25">
      <c r="A219" s="1" t="s">
        <v>11</v>
      </c>
      <c r="B219" s="2">
        <v>45008</v>
      </c>
      <c r="C219" s="1">
        <v>105.889999389648</v>
      </c>
      <c r="D219" s="1">
        <v>107.10099792480401</v>
      </c>
      <c r="E219" s="1">
        <v>105.41000366210901</v>
      </c>
      <c r="F219" s="1">
        <v>106.26000213623</v>
      </c>
      <c r="G219" s="1">
        <v>106.26000213623</v>
      </c>
      <c r="H219" s="1">
        <v>31385800</v>
      </c>
      <c r="I219">
        <f t="shared" si="16"/>
        <v>103.422857012067</v>
      </c>
      <c r="J219">
        <f t="shared" si="14"/>
        <v>-0.18822188369673501</v>
      </c>
      <c r="K219" t="str">
        <f t="shared" si="15"/>
        <v>Weak Move</v>
      </c>
      <c r="L219">
        <f t="shared" si="13"/>
        <v>1.0214945292403341</v>
      </c>
    </row>
    <row r="220" spans="1:12" x14ac:dyDescent="0.25">
      <c r="A220" s="1" t="s">
        <v>11</v>
      </c>
      <c r="B220" s="2">
        <v>45009</v>
      </c>
      <c r="C220" s="1">
        <v>105.73999786376901</v>
      </c>
      <c r="D220" s="1">
        <v>106.16000366210901</v>
      </c>
      <c r="E220" s="1">
        <v>104.73999786376901</v>
      </c>
      <c r="F220" s="1">
        <v>106.059997558593</v>
      </c>
      <c r="G220" s="1">
        <v>106.059997558593</v>
      </c>
      <c r="H220" s="1">
        <v>25245000</v>
      </c>
      <c r="I220">
        <f t="shared" si="16"/>
        <v>103.23000008719258</v>
      </c>
      <c r="J220">
        <f t="shared" si="14"/>
        <v>-2.8285876570406723</v>
      </c>
      <c r="K220" t="str">
        <f t="shared" si="15"/>
        <v>Weak Move</v>
      </c>
      <c r="L220">
        <f t="shared" si="13"/>
        <v>0.82163364931504801</v>
      </c>
    </row>
    <row r="221" spans="1:12" x14ac:dyDescent="0.25">
      <c r="A221" s="1" t="s">
        <v>11</v>
      </c>
      <c r="B221" s="2">
        <v>45012</v>
      </c>
      <c r="C221" s="1">
        <v>105.31999969482401</v>
      </c>
      <c r="D221" s="1">
        <v>105.400001525878</v>
      </c>
      <c r="E221" s="1">
        <v>102.629997253417</v>
      </c>
      <c r="F221" s="1">
        <v>103.059997558593</v>
      </c>
      <c r="G221" s="1">
        <v>103.059997558593</v>
      </c>
      <c r="H221" s="1">
        <v>25393400</v>
      </c>
      <c r="I221">
        <f t="shared" si="16"/>
        <v>103.09571511404815</v>
      </c>
      <c r="J221">
        <f t="shared" si="14"/>
        <v>-1.6495216267354351</v>
      </c>
      <c r="K221" t="str">
        <f t="shared" si="15"/>
        <v>Strong Down</v>
      </c>
      <c r="L221">
        <f t="shared" si="13"/>
        <v>0.82646353378953219</v>
      </c>
    </row>
    <row r="222" spans="1:12" x14ac:dyDescent="0.25">
      <c r="A222" s="1" t="s">
        <v>11</v>
      </c>
      <c r="B222" s="2">
        <v>45013</v>
      </c>
      <c r="C222" s="1">
        <v>103</v>
      </c>
      <c r="D222" s="1">
        <v>103</v>
      </c>
      <c r="E222" s="1">
        <v>100.27999877929599</v>
      </c>
      <c r="F222" s="1">
        <v>101.36000061035099</v>
      </c>
      <c r="G222" s="1">
        <v>101.36000061035099</v>
      </c>
      <c r="H222" s="1">
        <v>24913500</v>
      </c>
      <c r="I222">
        <f t="shared" si="16"/>
        <v>103.36571502685514</v>
      </c>
      <c r="J222">
        <f t="shared" si="14"/>
        <v>0.53275543831425076</v>
      </c>
      <c r="K222" t="str">
        <f t="shared" si="15"/>
        <v>Weak Move</v>
      </c>
      <c r="L222">
        <f t="shared" si="13"/>
        <v>0.81084452058666867</v>
      </c>
    </row>
    <row r="223" spans="1:12" x14ac:dyDescent="0.25">
      <c r="A223" s="1" t="s">
        <v>11</v>
      </c>
      <c r="B223" s="2">
        <v>45014</v>
      </c>
      <c r="C223" s="1">
        <v>102.720001220703</v>
      </c>
      <c r="D223" s="1">
        <v>102.81999969482401</v>
      </c>
      <c r="E223" s="1">
        <v>101.02999877929599</v>
      </c>
      <c r="F223" s="1">
        <v>101.900001525878</v>
      </c>
      <c r="G223" s="1">
        <v>101.900001525878</v>
      </c>
      <c r="H223" s="1">
        <v>26148300</v>
      </c>
      <c r="I223">
        <f t="shared" si="16"/>
        <v>104.44285801478757</v>
      </c>
      <c r="J223">
        <f t="shared" si="14"/>
        <v>-0.56918726434630806</v>
      </c>
      <c r="K223" t="str">
        <f t="shared" si="15"/>
        <v>Strong Down</v>
      </c>
      <c r="L223">
        <f t="shared" si="13"/>
        <v>0.85103280461020681</v>
      </c>
    </row>
    <row r="224" spans="1:12" x14ac:dyDescent="0.25">
      <c r="A224" s="1" t="s">
        <v>11</v>
      </c>
      <c r="B224" s="2">
        <v>45015</v>
      </c>
      <c r="C224" s="1">
        <v>101.44000244140599</v>
      </c>
      <c r="D224" s="1">
        <v>101.61000061035099</v>
      </c>
      <c r="E224" s="1">
        <v>100.290000915527</v>
      </c>
      <c r="F224" s="1">
        <v>101.31999969482401</v>
      </c>
      <c r="G224" s="1">
        <v>101.31999969482401</v>
      </c>
      <c r="H224" s="1">
        <v>25009800</v>
      </c>
      <c r="I224">
        <f t="shared" si="16"/>
        <v>105.16428593226814</v>
      </c>
      <c r="J224">
        <f t="shared" si="14"/>
        <v>2.6450851887565725</v>
      </c>
      <c r="K224" t="str">
        <f t="shared" si="15"/>
        <v>Weak Move</v>
      </c>
      <c r="L224">
        <f t="shared" si="13"/>
        <v>0.81397873807246934</v>
      </c>
    </row>
    <row r="225" spans="1:12" x14ac:dyDescent="0.25">
      <c r="A225" s="1" t="s">
        <v>11</v>
      </c>
      <c r="B225" s="2">
        <v>45016</v>
      </c>
      <c r="C225" s="1">
        <v>101.709999084472</v>
      </c>
      <c r="D225" s="1">
        <v>104.19000244140599</v>
      </c>
      <c r="E225" s="1">
        <v>101.44000244140599</v>
      </c>
      <c r="F225" s="1">
        <v>104</v>
      </c>
      <c r="G225" s="1">
        <v>104</v>
      </c>
      <c r="H225" s="1">
        <v>28086500</v>
      </c>
      <c r="I225">
        <f t="shared" si="16"/>
        <v>105.85000065394786</v>
      </c>
      <c r="J225">
        <f t="shared" si="14"/>
        <v>0.87500352125865921</v>
      </c>
      <c r="K225" t="str">
        <f t="shared" si="15"/>
        <v>Strong Up</v>
      </c>
      <c r="L225">
        <f t="shared" si="13"/>
        <v>0.91411422030053857</v>
      </c>
    </row>
    <row r="226" spans="1:12" x14ac:dyDescent="0.25">
      <c r="A226" s="1" t="s">
        <v>11</v>
      </c>
      <c r="B226" s="2">
        <v>45019</v>
      </c>
      <c r="C226" s="1">
        <v>102.669998168945</v>
      </c>
      <c r="D226" s="1">
        <v>104.949996948242</v>
      </c>
      <c r="E226" s="1">
        <v>102.379997253417</v>
      </c>
      <c r="F226" s="1">
        <v>104.91000366210901</v>
      </c>
      <c r="G226" s="1">
        <v>104.91000366210901</v>
      </c>
      <c r="H226" s="1">
        <v>20719900</v>
      </c>
      <c r="I226">
        <f t="shared" si="16"/>
        <v>106.02428654261972</v>
      </c>
      <c r="J226">
        <f t="shared" si="14"/>
        <v>0.20017069597038245</v>
      </c>
      <c r="K226" t="str">
        <f t="shared" si="15"/>
        <v>Weak Move</v>
      </c>
      <c r="L226">
        <f t="shared" si="13"/>
        <v>0.67435797387375174</v>
      </c>
    </row>
    <row r="227" spans="1:12" x14ac:dyDescent="0.25">
      <c r="A227" s="1" t="s">
        <v>11</v>
      </c>
      <c r="B227" s="2">
        <v>45020</v>
      </c>
      <c r="C227" s="1">
        <v>104.83999633789</v>
      </c>
      <c r="D227" s="1">
        <v>106.09999847412099</v>
      </c>
      <c r="E227" s="1">
        <v>104.59999847412099</v>
      </c>
      <c r="F227" s="1">
        <v>105.120002746582</v>
      </c>
      <c r="G227" s="1">
        <v>105.120002746582</v>
      </c>
      <c r="H227" s="1">
        <v>20377200</v>
      </c>
      <c r="I227">
        <f t="shared" si="16"/>
        <v>106.492857796805</v>
      </c>
      <c r="J227">
        <f t="shared" si="14"/>
        <v>-0.1617254508162842</v>
      </c>
      <c r="K227" t="str">
        <f t="shared" si="15"/>
        <v>Weak Move</v>
      </c>
      <c r="L227">
        <f t="shared" si="13"/>
        <v>0.66320432556239239</v>
      </c>
    </row>
    <row r="228" spans="1:12" x14ac:dyDescent="0.25">
      <c r="A228" s="1" t="s">
        <v>11</v>
      </c>
      <c r="B228" s="2">
        <v>45021</v>
      </c>
      <c r="C228" s="1">
        <v>106.120002746582</v>
      </c>
      <c r="D228" s="1">
        <v>106.540000915527</v>
      </c>
      <c r="E228" s="1">
        <v>104.101997375488</v>
      </c>
      <c r="F228" s="1">
        <v>104.949996948242</v>
      </c>
      <c r="G228" s="1">
        <v>104.949996948242</v>
      </c>
      <c r="H228" s="1">
        <v>21864200</v>
      </c>
      <c r="I228">
        <f t="shared" si="16"/>
        <v>107.11285727364644</v>
      </c>
      <c r="J228">
        <f t="shared" si="14"/>
        <v>3.7637014697427871</v>
      </c>
      <c r="K228" t="str">
        <f t="shared" si="15"/>
        <v>Strong Up</v>
      </c>
      <c r="L228">
        <f t="shared" si="13"/>
        <v>0.71160080948124671</v>
      </c>
    </row>
    <row r="229" spans="1:12" x14ac:dyDescent="0.25">
      <c r="A229" s="1" t="s">
        <v>11</v>
      </c>
      <c r="B229" s="2">
        <v>45022</v>
      </c>
      <c r="C229" s="1">
        <v>105.76999664306599</v>
      </c>
      <c r="D229" s="1">
        <v>109.629997253417</v>
      </c>
      <c r="E229" s="1">
        <v>104.81500244140599</v>
      </c>
      <c r="F229" s="1">
        <v>108.900001525878</v>
      </c>
      <c r="G229" s="1">
        <v>108.900001525878</v>
      </c>
      <c r="H229" s="1">
        <v>34684200</v>
      </c>
      <c r="I229">
        <f t="shared" si="16"/>
        <v>107.32285744803256</v>
      </c>
      <c r="J229">
        <f t="shared" si="14"/>
        <v>-1.790637787247976</v>
      </c>
      <c r="K229" t="str">
        <f t="shared" si="15"/>
        <v>Strong Down</v>
      </c>
      <c r="L229">
        <f t="shared" si="13"/>
        <v>1.1288455464279259</v>
      </c>
    </row>
    <row r="230" spans="1:12" x14ac:dyDescent="0.25">
      <c r="A230" s="1" t="s">
        <v>11</v>
      </c>
      <c r="B230" s="2">
        <v>45026</v>
      </c>
      <c r="C230" s="1">
        <v>107.389999389648</v>
      </c>
      <c r="D230" s="1">
        <v>107.970001220703</v>
      </c>
      <c r="E230" s="1">
        <v>105.59999847412099</v>
      </c>
      <c r="F230" s="1">
        <v>106.949996948242</v>
      </c>
      <c r="G230" s="1">
        <v>106.949996948242</v>
      </c>
      <c r="H230" s="1">
        <v>19741500</v>
      </c>
      <c r="I230">
        <f t="shared" si="16"/>
        <v>106.78285762241886</v>
      </c>
      <c r="J230">
        <f t="shared" si="14"/>
        <v>-0.77605818171427543</v>
      </c>
      <c r="K230" t="str">
        <f t="shared" si="15"/>
        <v>Weak Move</v>
      </c>
      <c r="L230">
        <f t="shared" si="13"/>
        <v>0.64251458458914723</v>
      </c>
    </row>
    <row r="231" spans="1:12" x14ac:dyDescent="0.25">
      <c r="A231" s="1" t="s">
        <v>11</v>
      </c>
      <c r="B231" s="2">
        <v>45027</v>
      </c>
      <c r="C231" s="1">
        <v>106.919998168945</v>
      </c>
      <c r="D231" s="1">
        <v>107.220001220703</v>
      </c>
      <c r="E231" s="1">
        <v>105.27999877929599</v>
      </c>
      <c r="F231" s="1">
        <v>106.120002746582</v>
      </c>
      <c r="G231" s="1">
        <v>106.120002746582</v>
      </c>
      <c r="H231" s="1">
        <v>18721300</v>
      </c>
      <c r="I231">
        <f t="shared" si="16"/>
        <v>106.50714329310799</v>
      </c>
      <c r="J231">
        <f t="shared" si="14"/>
        <v>-0.84809791046485217</v>
      </c>
      <c r="K231" t="str">
        <f t="shared" si="15"/>
        <v>Weak Move</v>
      </c>
      <c r="L231">
        <f t="shared" si="13"/>
        <v>0.60931075614663532</v>
      </c>
    </row>
    <row r="232" spans="1:12" x14ac:dyDescent="0.25">
      <c r="A232" s="1" t="s">
        <v>11</v>
      </c>
      <c r="B232" s="2">
        <v>45028</v>
      </c>
      <c r="C232" s="1">
        <v>107.389999389648</v>
      </c>
      <c r="D232" s="1">
        <v>107.58699798583901</v>
      </c>
      <c r="E232" s="1">
        <v>104.970001220703</v>
      </c>
      <c r="F232" s="1">
        <v>105.220001220703</v>
      </c>
      <c r="G232" s="1">
        <v>105.220001220703</v>
      </c>
      <c r="H232" s="1">
        <v>22761600</v>
      </c>
      <c r="I232">
        <f t="shared" si="16"/>
        <v>106.47571454729314</v>
      </c>
      <c r="J232">
        <f t="shared" si="14"/>
        <v>2.8226584168853082</v>
      </c>
      <c r="K232" t="str">
        <f t="shared" si="15"/>
        <v>Strong Up</v>
      </c>
      <c r="L232">
        <f t="shared" si="13"/>
        <v>0.74080794106751424</v>
      </c>
    </row>
    <row r="233" spans="1:12" x14ac:dyDescent="0.25">
      <c r="A233" s="1" t="s">
        <v>11</v>
      </c>
      <c r="B233" s="2">
        <v>45029</v>
      </c>
      <c r="C233" s="1">
        <v>106.470001220703</v>
      </c>
      <c r="D233" s="1">
        <v>108.264999389648</v>
      </c>
      <c r="E233" s="1">
        <v>106.44000244140599</v>
      </c>
      <c r="F233" s="1">
        <v>108.19000244140599</v>
      </c>
      <c r="G233" s="1">
        <v>108.19000244140599</v>
      </c>
      <c r="H233" s="1">
        <v>21650700</v>
      </c>
      <c r="I233">
        <f t="shared" si="16"/>
        <v>106.57428632463686</v>
      </c>
      <c r="J233">
        <f t="shared" si="14"/>
        <v>1.1738576711409343</v>
      </c>
      <c r="K233" t="str">
        <f t="shared" si="15"/>
        <v>Weak Move</v>
      </c>
      <c r="L233">
        <f t="shared" si="13"/>
        <v>0.70465215493069167</v>
      </c>
    </row>
    <row r="234" spans="1:12" x14ac:dyDescent="0.25">
      <c r="A234" s="1" t="s">
        <v>11</v>
      </c>
      <c r="B234" s="2">
        <v>45030</v>
      </c>
      <c r="C234" s="1">
        <v>107.69000244140599</v>
      </c>
      <c r="D234" s="1">
        <v>109.58000183105401</v>
      </c>
      <c r="E234" s="1">
        <v>107.58999633789</v>
      </c>
      <c r="F234" s="1">
        <v>109.459999084472</v>
      </c>
      <c r="G234" s="1">
        <v>109.459999084472</v>
      </c>
      <c r="H234" s="1">
        <v>20745400</v>
      </c>
      <c r="I234">
        <f t="shared" si="16"/>
        <v>106.37285723004972</v>
      </c>
      <c r="J234">
        <f t="shared" si="14"/>
        <v>-2.7772710953350059</v>
      </c>
      <c r="K234" t="str">
        <f t="shared" si="15"/>
        <v>Weak Move</v>
      </c>
      <c r="L234">
        <f t="shared" si="13"/>
        <v>0.6751879068528579</v>
      </c>
    </row>
    <row r="235" spans="1:12" x14ac:dyDescent="0.25">
      <c r="A235" s="1" t="s">
        <v>11</v>
      </c>
      <c r="B235" s="2">
        <v>45033</v>
      </c>
      <c r="C235" s="1">
        <v>105.430000305175</v>
      </c>
      <c r="D235" s="1">
        <v>106.709999084472</v>
      </c>
      <c r="E235" s="1">
        <v>105.31999969482401</v>
      </c>
      <c r="F235" s="1">
        <v>106.419998168945</v>
      </c>
      <c r="G235" s="1">
        <v>106.419998168945</v>
      </c>
      <c r="H235" s="1">
        <v>29043400</v>
      </c>
      <c r="I235">
        <f t="shared" si="16"/>
        <v>105.68000030517528</v>
      </c>
      <c r="J235">
        <f t="shared" si="14"/>
        <v>-1.2215706114739961</v>
      </c>
      <c r="K235" t="str">
        <f t="shared" si="15"/>
        <v>Strong Down</v>
      </c>
      <c r="L235">
        <f t="shared" si="13"/>
        <v>0.94525786217138708</v>
      </c>
    </row>
    <row r="236" spans="1:12" x14ac:dyDescent="0.25">
      <c r="A236" s="1" t="s">
        <v>11</v>
      </c>
      <c r="B236" s="2">
        <v>45034</v>
      </c>
      <c r="C236" s="1">
        <v>107</v>
      </c>
      <c r="D236" s="1">
        <v>107.050003051757</v>
      </c>
      <c r="E236" s="1">
        <v>104.77999877929599</v>
      </c>
      <c r="F236" s="1">
        <v>105.120002746582</v>
      </c>
      <c r="G236" s="1">
        <v>105.120002746582</v>
      </c>
      <c r="H236" s="1">
        <v>17641400</v>
      </c>
      <c r="I236">
        <f t="shared" si="16"/>
        <v>105.39857155936056</v>
      </c>
      <c r="J236">
        <f t="shared" si="14"/>
        <v>-9.5135179702285924E-2</v>
      </c>
      <c r="K236" t="str">
        <f t="shared" si="15"/>
        <v>Weak Move</v>
      </c>
      <c r="L236">
        <f t="shared" si="13"/>
        <v>0.57416390814127505</v>
      </c>
    </row>
    <row r="237" spans="1:12" x14ac:dyDescent="0.25">
      <c r="A237" s="1" t="s">
        <v>11</v>
      </c>
      <c r="B237" s="2">
        <v>45035</v>
      </c>
      <c r="C237" s="1">
        <v>104.21499633789</v>
      </c>
      <c r="D237" s="1">
        <v>105.72499847412099</v>
      </c>
      <c r="E237" s="1">
        <v>103.800003051757</v>
      </c>
      <c r="F237" s="1">
        <v>105.01999664306599</v>
      </c>
      <c r="G237" s="1">
        <v>105.01999664306599</v>
      </c>
      <c r="H237" s="1">
        <v>16732000</v>
      </c>
      <c r="I237">
        <f t="shared" si="16"/>
        <v>105.86285727364627</v>
      </c>
      <c r="J237">
        <f t="shared" si="14"/>
        <v>0.83794030750438553</v>
      </c>
      <c r="K237" t="str">
        <f t="shared" si="15"/>
        <v>Weak Move</v>
      </c>
      <c r="L237">
        <f t="shared" si="13"/>
        <v>0.54456621985895759</v>
      </c>
    </row>
    <row r="238" spans="1:12" x14ac:dyDescent="0.25">
      <c r="A238" s="1" t="s">
        <v>11</v>
      </c>
      <c r="B238" s="2">
        <v>45036</v>
      </c>
      <c r="C238" s="1">
        <v>104.650001525878</v>
      </c>
      <c r="D238" s="1">
        <v>106.88800048828099</v>
      </c>
      <c r="E238" s="1">
        <v>104.639999389648</v>
      </c>
      <c r="F238" s="1">
        <v>105.900001525878</v>
      </c>
      <c r="G238" s="1">
        <v>105.900001525878</v>
      </c>
      <c r="H238" s="1">
        <v>22515300</v>
      </c>
      <c r="I238">
        <f t="shared" si="16"/>
        <v>106.32000078473729</v>
      </c>
      <c r="J238">
        <f t="shared" si="14"/>
        <v>9.4448877118898013E-3</v>
      </c>
      <c r="K238" t="str">
        <f t="shared" si="15"/>
        <v>Strong Up</v>
      </c>
      <c r="L238">
        <f t="shared" si="13"/>
        <v>0.73279176488108932</v>
      </c>
    </row>
    <row r="239" spans="1:12" x14ac:dyDescent="0.25">
      <c r="A239" s="1" t="s">
        <v>11</v>
      </c>
      <c r="B239" s="2">
        <v>45037</v>
      </c>
      <c r="C239" s="1">
        <v>106.08999633789</v>
      </c>
      <c r="D239" s="1">
        <v>106.639999389648</v>
      </c>
      <c r="E239" s="1">
        <v>105.48500061035099</v>
      </c>
      <c r="F239" s="1">
        <v>105.91000366210901</v>
      </c>
      <c r="G239" s="1">
        <v>105.91000366210901</v>
      </c>
      <c r="H239" s="1">
        <v>22369800</v>
      </c>
      <c r="I239">
        <f t="shared" si="16"/>
        <v>106.57857186453643</v>
      </c>
      <c r="J239">
        <f t="shared" si="14"/>
        <v>0.82144753763070921</v>
      </c>
      <c r="K239" t="str">
        <f t="shared" si="15"/>
        <v>Weak Move</v>
      </c>
      <c r="L239">
        <f t="shared" si="13"/>
        <v>0.7280562649414839</v>
      </c>
    </row>
    <row r="240" spans="1:12" x14ac:dyDescent="0.25">
      <c r="A240" s="1" t="s">
        <v>11</v>
      </c>
      <c r="B240" s="2">
        <v>45040</v>
      </c>
      <c r="C240" s="1">
        <v>106.050003051757</v>
      </c>
      <c r="D240" s="1">
        <v>107.31999969482401</v>
      </c>
      <c r="E240" s="1">
        <v>105.36000061035099</v>
      </c>
      <c r="F240" s="1">
        <v>106.77999877929599</v>
      </c>
      <c r="G240" s="1">
        <v>106.77999877929599</v>
      </c>
      <c r="H240" s="1">
        <v>21410900</v>
      </c>
      <c r="I240">
        <f t="shared" si="16"/>
        <v>106.58857182093985</v>
      </c>
      <c r="J240">
        <f t="shared" si="14"/>
        <v>-2.032214079183666</v>
      </c>
      <c r="K240" t="str">
        <f t="shared" si="15"/>
        <v>Weak Move</v>
      </c>
      <c r="L240">
        <f t="shared" si="13"/>
        <v>0.69684753028796043</v>
      </c>
    </row>
    <row r="241" spans="1:12" x14ac:dyDescent="0.25">
      <c r="A241" s="1" t="s">
        <v>11</v>
      </c>
      <c r="B241" s="2">
        <v>45041</v>
      </c>
      <c r="C241" s="1">
        <v>106.61000061035099</v>
      </c>
      <c r="D241" s="1">
        <v>107.44000244140599</v>
      </c>
      <c r="E241" s="1">
        <v>104.559997558593</v>
      </c>
      <c r="F241" s="1">
        <v>104.61000061035099</v>
      </c>
      <c r="G241" s="1">
        <v>104.61000061035099</v>
      </c>
      <c r="H241" s="1">
        <v>31408100</v>
      </c>
      <c r="I241">
        <f t="shared" si="16"/>
        <v>106.49428667340929</v>
      </c>
      <c r="J241">
        <f t="shared" si="14"/>
        <v>-0.15295254868123881</v>
      </c>
      <c r="K241" t="str">
        <f t="shared" si="15"/>
        <v>Strong Down</v>
      </c>
      <c r="L241">
        <f t="shared" si="13"/>
        <v>1.0222203137671602</v>
      </c>
    </row>
    <row r="242" spans="1:12" x14ac:dyDescent="0.25">
      <c r="A242" s="1" t="s">
        <v>11</v>
      </c>
      <c r="B242" s="2">
        <v>45042</v>
      </c>
      <c r="C242" s="1">
        <v>105.559997558593</v>
      </c>
      <c r="D242" s="1">
        <v>107.01999664306599</v>
      </c>
      <c r="E242" s="1">
        <v>103.26999664306599</v>
      </c>
      <c r="F242" s="1">
        <v>104.449996948242</v>
      </c>
      <c r="G242" s="1">
        <v>104.449996948242</v>
      </c>
      <c r="H242" s="1">
        <v>37068200</v>
      </c>
      <c r="I242">
        <f t="shared" si="16"/>
        <v>106.58000074114086</v>
      </c>
      <c r="J242">
        <f t="shared" si="14"/>
        <v>3.7529975230946886</v>
      </c>
      <c r="K242" t="str">
        <f t="shared" si="15"/>
        <v>Strong Up</v>
      </c>
      <c r="L242">
        <f t="shared" si="13"/>
        <v>1.2064361433765127</v>
      </c>
    </row>
    <row r="243" spans="1:12" x14ac:dyDescent="0.25">
      <c r="A243" s="1" t="s">
        <v>11</v>
      </c>
      <c r="B243" s="2">
        <v>45043</v>
      </c>
      <c r="C243" s="1">
        <v>105.230003356933</v>
      </c>
      <c r="D243" s="1">
        <v>109.150001525878</v>
      </c>
      <c r="E243" s="1">
        <v>104.419998168945</v>
      </c>
      <c r="F243" s="1">
        <v>108.370002746582</v>
      </c>
      <c r="G243" s="1">
        <v>108.370002746582</v>
      </c>
      <c r="H243" s="1">
        <v>38235200</v>
      </c>
      <c r="I243">
        <f t="shared" si="16"/>
        <v>106.83214351109056</v>
      </c>
      <c r="J243">
        <f t="shared" si="14"/>
        <v>-0.13841609493152549</v>
      </c>
      <c r="K243" t="str">
        <f t="shared" si="15"/>
        <v>Strong Down</v>
      </c>
      <c r="L243">
        <f t="shared" si="13"/>
        <v>1.2444177820673687</v>
      </c>
    </row>
    <row r="244" spans="1:12" x14ac:dyDescent="0.25">
      <c r="A244" s="1" t="s">
        <v>11</v>
      </c>
      <c r="B244" s="2">
        <v>45044</v>
      </c>
      <c r="C244" s="1">
        <v>107.800003051757</v>
      </c>
      <c r="D244" s="1">
        <v>108.290000915527</v>
      </c>
      <c r="E244" s="1">
        <v>106.040000915527</v>
      </c>
      <c r="F244" s="1">
        <v>108.220001220703</v>
      </c>
      <c r="G244" s="1">
        <v>108.220001220703</v>
      </c>
      <c r="H244" s="1">
        <v>23957900</v>
      </c>
      <c r="I244">
        <f>IF(COUNTA(F244:F249)=6, AVERAGE(F244:F249), "")</f>
        <v>106.57583363850866</v>
      </c>
      <c r="J244">
        <f t="shared" si="14"/>
        <v>-0.47126421223272796</v>
      </c>
      <c r="K244" t="str">
        <f t="shared" si="15"/>
        <v>Weak Move</v>
      </c>
      <c r="L244">
        <f t="shared" si="13"/>
        <v>0.77974318902455886</v>
      </c>
    </row>
    <row r="245" spans="1:12" x14ac:dyDescent="0.25">
      <c r="A245" s="1" t="s">
        <v>11</v>
      </c>
      <c r="B245" s="2">
        <v>45047</v>
      </c>
      <c r="C245" s="1">
        <v>107.720001220703</v>
      </c>
      <c r="D245" s="1">
        <v>108.680000305175</v>
      </c>
      <c r="E245" s="1">
        <v>107.5</v>
      </c>
      <c r="F245" s="1">
        <v>107.709999084472</v>
      </c>
      <c r="G245" s="1">
        <v>107.709999084472</v>
      </c>
      <c r="H245" s="1">
        <v>20926300</v>
      </c>
      <c r="I245">
        <f>IF(COUNTA(F244:F249)=6, AVERAGE(F244:F249), "")</f>
        <v>106.57583363850866</v>
      </c>
      <c r="J245">
        <f t="shared" si="14"/>
        <v>-1.6061607485320368</v>
      </c>
      <c r="K245" t="str">
        <f t="shared" si="15"/>
        <v>Weak Move</v>
      </c>
      <c r="L245">
        <f t="shared" si="13"/>
        <v>0.68107554904581069</v>
      </c>
    </row>
    <row r="246" spans="1:12" x14ac:dyDescent="0.25">
      <c r="A246" s="1" t="s">
        <v>11</v>
      </c>
      <c r="B246" s="2">
        <v>45048</v>
      </c>
      <c r="C246" s="1">
        <v>107.66000366210901</v>
      </c>
      <c r="D246" s="1">
        <v>107.730003356933</v>
      </c>
      <c r="E246" s="1">
        <v>104.5</v>
      </c>
      <c r="F246" s="1">
        <v>105.980003356933</v>
      </c>
      <c r="G246" s="1">
        <v>105.980003356933</v>
      </c>
      <c r="H246" s="1">
        <v>20343100</v>
      </c>
      <c r="I246">
        <f>IF(COUNTA(F244:F249)=6, AVERAGE(F244:F249), "")</f>
        <v>106.57583363850866</v>
      </c>
      <c r="J246">
        <f t="shared" si="14"/>
        <v>0.13209981620541952</v>
      </c>
      <c r="K246" t="str">
        <f t="shared" si="15"/>
        <v>Weak Move</v>
      </c>
      <c r="L246">
        <f t="shared" si="13"/>
        <v>0.66209449361778383</v>
      </c>
    </row>
    <row r="247" spans="1:12" x14ac:dyDescent="0.25">
      <c r="A247" s="1" t="s">
        <v>11</v>
      </c>
      <c r="B247" s="2">
        <v>45049</v>
      </c>
      <c r="C247" s="1">
        <v>106.220001220703</v>
      </c>
      <c r="D247" s="1">
        <v>108.129997253417</v>
      </c>
      <c r="E247" s="1">
        <v>105.620002746582</v>
      </c>
      <c r="F247" s="1">
        <v>106.120002746582</v>
      </c>
      <c r="G247" s="1">
        <v>106.120002746582</v>
      </c>
      <c r="H247" s="1">
        <v>17116300</v>
      </c>
      <c r="I247">
        <f>IF(COUNTA(F244:F249)=6, AVERAGE(F244:F249), "")</f>
        <v>106.57583363850866</v>
      </c>
      <c r="J247">
        <f t="shared" si="14"/>
        <v>-0.85752321763797779</v>
      </c>
      <c r="K247" t="str">
        <f t="shared" si="15"/>
        <v>Weak Move</v>
      </c>
      <c r="L247">
        <f t="shared" si="13"/>
        <v>0.55707379804995671</v>
      </c>
    </row>
    <row r="248" spans="1:12" x14ac:dyDescent="0.25">
      <c r="A248" s="1" t="s">
        <v>11</v>
      </c>
      <c r="B248" s="2">
        <v>45050</v>
      </c>
      <c r="C248" s="1">
        <v>106.16000366210901</v>
      </c>
      <c r="D248" s="1">
        <v>106.300003051757</v>
      </c>
      <c r="E248" s="1">
        <v>104.699996948242</v>
      </c>
      <c r="F248" s="1">
        <v>105.209999084472</v>
      </c>
      <c r="G248" s="1">
        <v>105.209999084472</v>
      </c>
      <c r="H248" s="1">
        <v>19780600</v>
      </c>
      <c r="I248">
        <f>IF(COUNTA(F244:F249)=6, AVERAGE(F244:F249), "")</f>
        <v>106.57583363850866</v>
      </c>
      <c r="J248">
        <f t="shared" si="14"/>
        <v>0.95522979009922382</v>
      </c>
      <c r="K248" t="str">
        <f t="shared" si="15"/>
        <v>Strong Up</v>
      </c>
      <c r="L248">
        <f t="shared" si="13"/>
        <v>0.64378714849044327</v>
      </c>
    </row>
    <row r="249" spans="1:12" x14ac:dyDescent="0.25">
      <c r="A249" s="1" t="s">
        <v>11</v>
      </c>
      <c r="B249" s="2">
        <v>45051</v>
      </c>
      <c r="C249" s="1">
        <v>105.31999969482401</v>
      </c>
      <c r="D249" s="1">
        <v>106.44000244140599</v>
      </c>
      <c r="E249" s="1">
        <v>104.738998413085</v>
      </c>
      <c r="F249" s="1">
        <v>106.21499633789</v>
      </c>
      <c r="G249" s="1">
        <v>106.21499633789</v>
      </c>
      <c r="H249" s="1">
        <v>20705300</v>
      </c>
      <c r="I249">
        <f>IF(COUNTA(F244:F249)=6, AVERAGE(F244:F249), "")</f>
        <v>106.57583363850866</v>
      </c>
      <c r="J249">
        <f>IF(ROW()=2, "", (F248-F249)/F249*100)</f>
        <v>-0.94619148714265422</v>
      </c>
      <c r="K249" t="str">
        <f t="shared" si="15"/>
        <v>Strong Down</v>
      </c>
      <c r="L249">
        <f t="shared" si="13"/>
        <v>0.67388279656022432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stocks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PAVITHRAN</dc:creator>
  <cp:lastModifiedBy>PAVITHRAN V</cp:lastModifiedBy>
  <dcterms:created xsi:type="dcterms:W3CDTF">2025-06-06T08:59:17Z</dcterms:created>
  <dcterms:modified xsi:type="dcterms:W3CDTF">2025-06-06T09:52:50Z</dcterms:modified>
</cp:coreProperties>
</file>